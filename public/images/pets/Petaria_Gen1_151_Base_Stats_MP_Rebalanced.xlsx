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93d8566a3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aria Gen1" sheetId="1" r:id="R19a126149a9b4aa6"/>
    <x:sheet xmlns:r="http://schemas.openxmlformats.org/officeDocument/2006/relationships" name="Formula Guide" sheetId="2" r:id="Rcec8ee49085444e1"/>
    <x:sheet xmlns:r="http://schemas.openxmlformats.org/officeDocument/2006/relationships" name="Pokemon Source Stats" sheetId="3" r:id="Rd39de68acadf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054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i/>
      <x:sz val="11"/>
      <x:color rgb="FF475467"/>
      <x:name val="Carlito"/>
    </x:font>
    <x:font>
      <x:b/>
      <x:sz val="11"/>
      <x:color rgb="FF8A1C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2938"/>
      </x:patternFill>
    </x:fill>
    <x:fill>
      <x:patternFill patternType="solid">
        <x:fgColor rgb="FFE8EEF7"/>
      </x:patternFill>
    </x:fill>
    <x:fill>
      <x:patternFill patternType="solid">
        <x:fgColor rgb="FF3A506B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0b803f7894bf5" /><Relationship Type="http://schemas.openxmlformats.org/officeDocument/2006/relationships/theme" Target="/xl/theme/theme1.xml" Id="R3c5c72e72fce484f" /><Relationship Type="http://schemas.openxmlformats.org/officeDocument/2006/relationships/sharedStrings" Target="/xl/sharedStrings.xml" Id="Rb4fcb89efd3a4b8c" /><Relationship Type="http://schemas.openxmlformats.org/officeDocument/2006/relationships/worksheet" Target="/xl/worksheets/sheet1.xml" Id="R19a126149a9b4aa6" /><Relationship Type="http://schemas.openxmlformats.org/officeDocument/2006/relationships/worksheet" Target="/xl/worksheets/sheet2.xml" Id="Rcec8ee49085444e1" /><Relationship Type="http://schemas.openxmlformats.org/officeDocument/2006/relationships/worksheet" Target="/xl/worksheets/sheet3.xml" Id="Rd39de68acadf4b9a" /></Relationships>
</file>

<file path=xl/tables/table1.xml><?xml version="1.0" encoding="utf-8"?>
<x:table xmlns:x="http://schemas.openxmlformats.org/spreadsheetml/2006/main" id="1" name="PetariaGen1Stats" displayName="PetariaGen1Stats" ref="A4:R155" headerRowCount="1" totalsRowCount="0" totalsRowShown="0">
  <x:tableColumns count="18">
    <x:tableColumn id="1" name="#"/>
    <x:tableColumn id="2" name="Pokemon"/>
    <x:tableColumn id="3" name="Type"/>
    <x:tableColumn id="4" name="Future Role"/>
    <x:tableColumn id="5" name="HP"/>
    <x:tableColumn id="6" name="MP"/>
    <x:tableColumn id="7" name="STR"/>
    <x:tableColumn id="8" name="DEF"/>
    <x:tableColumn id="9" name="INT"/>
    <x:tableColumn id="10" name="SPD"/>
    <x:tableColumn id="11" name="Core Total"/>
    <x:tableColumn id="12" name="PKM HP"/>
    <x:tableColumn id="13" name="PKM ATK"/>
    <x:tableColumn id="14" name="PKM DEF"/>
    <x:tableColumn id="15" name="PKM SpA"/>
    <x:tableColumn id="16" name="PKM SpD"/>
    <x:tableColumn id="17" name="PKM SPD"/>
    <x:tableColumn id="18" name="Desig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kemonSourceStats" displayName="PokemonSourceStats" ref="A1:I152" headerRowCount="1" totalsRowCount="0" totalsRowShown="0">
  <x:tableColumns count="9">
    <x:tableColumn id="1" name="#"/>
    <x:tableColumn id="2" name="Pokemon"/>
    <x:tableColumn id="3" name="HP"/>
    <x:tableColumn id="4" name="Attack"/>
    <x:tableColumn id="5" name="Defense"/>
    <x:tableColumn id="6" name="Sp. Attack"/>
    <x:tableColumn id="7" name="Sp. Defense"/>
    <x:tableColumn id="8" name="Speed"/>
    <x:tableColumn id="9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6d5ec3ab724e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b21cd5e4a48c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4" hidden="0" customWidth="1"/>
    <x:col min="5" max="5" width="9" hidden="0" customWidth="1"/>
    <x:col min="6" max="6" width="10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2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30" hidden="0" customWidth="1"/>
  </x:cols>
  <x:sheetData>
    <x:row r="1" ht="28" customHeight="1">
      <x:c r="A1" s="5" t="str">
        <x:v>PETARIA — GEN 1 BASE STAT DESIGN (151 PETS)</x:v>
      </x:c>
    </x:row>
    <x:row r="2" ht="22" customHeight="1">
      <x:c r="A2" s="13" t="str">
        <x:v>Base stat proposal using Pokémon Gen 1 stat identity as reference. Petaria keeps HP / MP / STR / DEF / INT / SPD.</x:v>
      </x:c>
    </x:row>
    <x:row r="4" ht="30" customHeight="1">
      <x:c r="A4" s="22" t="str">
        <x:v>#</x:v>
      </x:c>
      <x:c r="B4" s="22" t="str">
        <x:v>Pokemon</x:v>
      </x:c>
      <x:c r="C4" s="22" t="str">
        <x:v>Type</x:v>
      </x:c>
      <x:c r="D4" s="22" t="str">
        <x:v>Future Role</x:v>
      </x:c>
      <x:c r="E4" s="22" t="str">
        <x:v>HP</x:v>
      </x:c>
      <x:c r="F4" s="22" t="str">
        <x:v>MP</x:v>
      </x:c>
      <x:c r="G4" s="22" t="str">
        <x:v>STR</x:v>
      </x:c>
      <x:c r="H4" s="22" t="str">
        <x:v>DEF</x:v>
      </x:c>
      <x:c r="I4" s="22" t="str">
        <x:v>INT</x:v>
      </x:c>
      <x:c r="J4" s="22" t="str">
        <x:v>SPD</x:v>
      </x:c>
      <x:c r="K4" s="22" t="str">
        <x:v>Core Total</x:v>
      </x:c>
      <x:c r="L4" s="22" t="str">
        <x:v>PKM HP</x:v>
      </x:c>
      <x:c r="M4" s="22" t="str">
        <x:v>PKM ATK</x:v>
      </x:c>
      <x:c r="N4" s="22" t="str">
        <x:v>PKM DEF</x:v>
      </x:c>
      <x:c r="O4" s="22" t="str">
        <x:v>PKM SpA</x:v>
      </x:c>
      <x:c r="P4" s="22" t="str">
        <x:v>PKM SpD</x:v>
      </x:c>
      <x:c r="Q4" s="22" t="str">
        <x:v>PKM SPD</x:v>
      </x:c>
      <x:c r="R4" s="22" t="str">
        <x:v>Design Note</x:v>
      </x:c>
    </x:row>
    <x:row r="5">
      <x:c r="A5" s="28" t="n">
        <x:v>1</x:v>
      </x:c>
      <x:c r="B5" s="30" t="str">
        <x:v>Bulbasaur</x:v>
      </x:c>
      <x:c r="C5" s="30" t="str">
        <x:v>Grass / Poison</x:v>
      </x:c>
      <x:c r="D5" s="28" t="str">
        <x:f>IF(M5&gt;=O5*1.15,"Physical",IF(O5&gt;=M5*1.15,"Magic","Hybrid"))</x:f>
        <x:v>Magic</x:v>
      </x:c>
      <x:c r="E5" s="28" t="n">
        <x:f>L5</x:f>
        <x:v>45</x:v>
      </x:c>
      <x:c r="F5" s="28" t="n">
        <x:f>ROUND(MAX(20,0.45*O5+0.15*P5+0.05*Q5),0)</x:f>
        <x:v>41</x:v>
      </x:c>
      <x:c r="G5" s="28" t="n">
        <x:f>ROUND(0.8*M5+0.2*O5,0)</x:f>
        <x:v>52</x:v>
      </x:c>
      <x:c r="H5" s="28" t="n">
        <x:f>ROUND(0.65*N5+0.35*P5,0)</x:f>
        <x:v>55</x:v>
      </x:c>
      <x:c r="I5" s="28" t="n">
        <x:f>ROUND(0.65*O5+0.25*P5+0.1*Q5,0)</x:f>
        <x:v>63</x:v>
      </x:c>
      <x:c r="J5" s="28" t="n">
        <x:f>Q5</x:f>
        <x:v>45</x:v>
      </x:c>
      <x:c r="K5" s="28" t="n">
        <x:f>SUM(E5,G5:J5)</x:f>
        <x:v>260</x:v>
      </x:c>
      <x:c r="L5" s="28" t="n">
        <x:v>45</x:v>
      </x:c>
      <x:c r="M5" s="28" t="n">
        <x:v>49</x:v>
      </x:c>
      <x:c r="N5" s="28" t="n">
        <x:v>49</x:v>
      </x:c>
      <x:c r="O5" s="28" t="n">
        <x:v>65</x:v>
      </x:c>
      <x:c r="P5" s="28" t="n">
        <x:v>65</x:v>
      </x:c>
      <x:c r="Q5" s="28" t="n">
        <x:v>45</x:v>
      </x:c>
      <x:c r="R5" s="30" t="str">
        <x:v>Strong INT/DEF; future MATK lean</x:v>
      </x:c>
    </x:row>
    <x:row r="6">
      <x:c r="A6" s="28" t="n">
        <x:v>2</x:v>
      </x:c>
      <x:c r="B6" s="30" t="str">
        <x:v>Ivysaur</x:v>
      </x:c>
      <x:c r="C6" s="30" t="str">
        <x:v>Grass / Poison</x:v>
      </x:c>
      <x:c r="D6" s="28" t="str">
        <x:f>IF(M6&gt;=O6*1.15,"Physical",IF(O6&gt;=M6*1.15,"Magic","Hybrid"))</x:f>
        <x:v>Magic</x:v>
      </x:c>
      <x:c r="E6" s="28" t="n">
        <x:f>L6</x:f>
        <x:v>60</x:v>
      </x:c>
      <x:c r="F6" s="28" t="n">
        <x:f>ROUND(MAX(20,0.45*O6+0.15*P6+0.05*Q6),0)</x:f>
        <x:v>51</x:v>
      </x:c>
      <x:c r="G6" s="28" t="n">
        <x:f>ROUND(0.8*M6+0.2*O6,0)</x:f>
        <x:v>66</x:v>
      </x:c>
      <x:c r="H6" s="28" t="n">
        <x:f>ROUND(0.65*N6+0.35*P6,0)</x:f>
        <x:v>69</x:v>
      </x:c>
      <x:c r="I6" s="28" t="n">
        <x:f>ROUND(0.65*O6+0.25*P6+0.1*Q6,0)</x:f>
        <x:v>78</x:v>
      </x:c>
      <x:c r="J6" s="28" t="n">
        <x:f>Q6</x:f>
        <x:v>60</x:v>
      </x:c>
      <x:c r="K6" s="28" t="n">
        <x:f>SUM(E6,G6:J6)</x:f>
        <x:v>333</x:v>
      </x:c>
      <x:c r="L6" s="28" t="n">
        <x:v>60</x:v>
      </x:c>
      <x:c r="M6" s="28" t="n">
        <x:v>62</x:v>
      </x:c>
      <x:c r="N6" s="28" t="n">
        <x:v>63</x:v>
      </x:c>
      <x:c r="O6" s="28" t="n">
        <x:v>80</x:v>
      </x:c>
      <x:c r="P6" s="28" t="n">
        <x:v>80</x:v>
      </x:c>
      <x:c r="Q6" s="28" t="n">
        <x:v>60</x:v>
      </x:c>
      <x:c r="R6" s="30" t="str">
        <x:v>Strong INT/DEF; future MATK lean</x:v>
      </x:c>
    </x:row>
    <x:row r="7">
      <x:c r="A7" s="28" t="n">
        <x:v>3</x:v>
      </x:c>
      <x:c r="B7" s="30" t="str">
        <x:v>Venusaur</x:v>
      </x:c>
      <x:c r="C7" s="30" t="str">
        <x:v>Grass / Poison</x:v>
      </x:c>
      <x:c r="D7" s="28" t="str">
        <x:f>IF(M7&gt;=O7*1.15,"Physical",IF(O7&gt;=M7*1.15,"Magic","Hybrid"))</x:f>
        <x:v>Magic</x:v>
      </x:c>
      <x:c r="E7" s="28" t="n">
        <x:f>L7</x:f>
        <x:v>80</x:v>
      </x:c>
      <x:c r="F7" s="28" t="n">
        <x:f>ROUND(MAX(20,0.45*O7+0.15*P7+0.05*Q7),0)</x:f>
        <x:v>64</x:v>
      </x:c>
      <x:c r="G7" s="28" t="n">
        <x:f>ROUND(0.8*M7+0.2*O7,0)</x:f>
        <x:v>86</x:v>
      </x:c>
      <x:c r="H7" s="28" t="n">
        <x:f>ROUND(0.65*N7+0.35*P7,0)</x:f>
        <x:v>89</x:v>
      </x:c>
      <x:c r="I7" s="28" t="n">
        <x:f>ROUND(0.65*O7+0.25*P7+0.1*Q7,0)</x:f>
        <x:v>98</x:v>
      </x:c>
      <x:c r="J7" s="28" t="n">
        <x:f>Q7</x:f>
        <x:v>80</x:v>
      </x:c>
      <x:c r="K7" s="28" t="n">
        <x:f>SUM(E7,G7:J7)</x:f>
        <x:v>433</x:v>
      </x:c>
      <x:c r="L7" s="28" t="n">
        <x:v>80</x:v>
      </x:c>
      <x:c r="M7" s="28" t="n">
        <x:v>82</x:v>
      </x:c>
      <x:c r="N7" s="28" t="n">
        <x:v>83</x:v>
      </x:c>
      <x:c r="O7" s="28" t="n">
        <x:v>100</x:v>
      </x:c>
      <x:c r="P7" s="28" t="n">
        <x:v>100</x:v>
      </x:c>
      <x:c r="Q7" s="28" t="n">
        <x:v>80</x:v>
      </x:c>
      <x:c r="R7" s="30" t="str">
        <x:v>Strong INT/DEF; High MP; future MATK lean</x:v>
      </x:c>
    </x:row>
    <x:row r="8">
      <x:c r="A8" s="28" t="n">
        <x:v>4</x:v>
      </x:c>
      <x:c r="B8" s="30" t="str">
        <x:v>Charmander</x:v>
      </x:c>
      <x:c r="C8" s="30" t="str">
        <x:v>Fire</x:v>
      </x:c>
      <x:c r="D8" s="28" t="str">
        <x:f>IF(M8&gt;=O8*1.15,"Physical",IF(O8&gt;=M8*1.15,"Magic","Hybrid"))</x:f>
        <x:v>Magic</x:v>
      </x:c>
      <x:c r="E8" s="28" t="n">
        <x:f>L8</x:f>
        <x:v>39</x:v>
      </x:c>
      <x:c r="F8" s="28" t="n">
        <x:f>ROUND(MAX(20,0.45*O8+0.15*P8+0.05*Q8),0)</x:f>
        <x:v>38</x:v>
      </x:c>
      <x:c r="G8" s="28" t="n">
        <x:f>ROUND(0.8*M8+0.2*O8,0)</x:f>
        <x:v>54</x:v>
      </x:c>
      <x:c r="H8" s="28" t="n">
        <x:f>ROUND(0.65*N8+0.35*P8,0)</x:f>
        <x:v>45</x:v>
      </x:c>
      <x:c r="I8" s="28" t="n">
        <x:f>ROUND(0.65*O8+0.25*P8+0.1*Q8,0)</x:f>
        <x:v>58</x:v>
      </x:c>
      <x:c r="J8" s="28" t="n">
        <x:f>Q8</x:f>
        <x:v>65</x:v>
      </x:c>
      <x:c r="K8" s="28" t="n">
        <x:f>SUM(E8,G8:J8)</x:f>
        <x:v>261</x:v>
      </x:c>
      <x:c r="L8" s="28" t="n">
        <x:v>39</x:v>
      </x:c>
      <x:c r="M8" s="28" t="n">
        <x:v>52</x:v>
      </x:c>
      <x:c r="N8" s="28" t="n">
        <x:v>43</x:v>
      </x:c>
      <x:c r="O8" s="28" t="n">
        <x:v>60</x:v>
      </x:c>
      <x:c r="P8" s="28" t="n">
        <x:v>50</x:v>
      </x:c>
      <x:c r="Q8" s="28" t="n">
        <x:v>65</x:v>
      </x:c>
      <x:c r="R8" s="30" t="str">
        <x:v>Strong SPD/INT; future MATK lean</x:v>
      </x:c>
    </x:row>
    <x:row r="9">
      <x:c r="A9" s="28" t="n">
        <x:v>5</x:v>
      </x:c>
      <x:c r="B9" s="30" t="str">
        <x:v>Charmeleon</x:v>
      </x:c>
      <x:c r="C9" s="30" t="str">
        <x:v>Fire</x:v>
      </x:c>
      <x:c r="D9" s="28" t="str">
        <x:f>IF(M9&gt;=O9*1.15,"Physical",IF(O9&gt;=M9*1.15,"Magic","Hybrid"))</x:f>
        <x:v>Magic</x:v>
      </x:c>
      <x:c r="E9" s="28" t="n">
        <x:f>L9</x:f>
        <x:v>58</x:v>
      </x:c>
      <x:c r="F9" s="28" t="n">
        <x:f>ROUND(MAX(20,0.45*O9+0.15*P9+0.05*Q9),0)</x:f>
        <x:v>50</x:v>
      </x:c>
      <x:c r="G9" s="28" t="n">
        <x:f>ROUND(0.8*M9+0.2*O9,0)</x:f>
        <x:v>67</x:v>
      </x:c>
      <x:c r="H9" s="28" t="n">
        <x:f>ROUND(0.65*N9+0.35*P9,0)</x:f>
        <x:v>60</x:v>
      </x:c>
      <x:c r="I9" s="28" t="n">
        <x:f>ROUND(0.65*O9+0.25*P9+0.1*Q9,0)</x:f>
        <x:v>76</x:v>
      </x:c>
      <x:c r="J9" s="28" t="n">
        <x:f>Q9</x:f>
        <x:v>80</x:v>
      </x:c>
      <x:c r="K9" s="28" t="n">
        <x:f>SUM(E9,G9:J9)</x:f>
        <x:v>341</x:v>
      </x:c>
      <x:c r="L9" s="28" t="n">
        <x:v>58</x:v>
      </x:c>
      <x:c r="M9" s="28" t="n">
        <x:v>64</x:v>
      </x:c>
      <x:c r="N9" s="28" t="n">
        <x:v>58</x:v>
      </x:c>
      <x:c r="O9" s="28" t="n">
        <x:v>80</x:v>
      </x:c>
      <x:c r="P9" s="28" t="n">
        <x:v>65</x:v>
      </x:c>
      <x:c r="Q9" s="28" t="n">
        <x:v>80</x:v>
      </x:c>
      <x:c r="R9" s="30" t="str">
        <x:v>Strong SPD/INT; future MATK lean</x:v>
      </x:c>
    </x:row>
    <x:row r="10">
      <x:c r="A10" s="28" t="n">
        <x:v>6</x:v>
      </x:c>
      <x:c r="B10" s="30" t="str">
        <x:v>Charizard</x:v>
      </x:c>
      <x:c r="C10" s="30" t="str">
        <x:v>Fire / Flying</x:v>
      </x:c>
      <x:c r="D10" s="28" t="str">
        <x:f>IF(M10&gt;=O10*1.15,"Physical",IF(O10&gt;=M10*1.15,"Magic","Hybrid"))</x:f>
        <x:v>Magic</x:v>
      </x:c>
      <x:c r="E10" s="28" t="n">
        <x:f>L10</x:f>
        <x:v>78</x:v>
      </x:c>
      <x:c r="F10" s="28" t="n">
        <x:f>ROUND(MAX(20,0.45*O10+0.15*P10+0.05*Q10),0)</x:f>
        <x:v>67</x:v>
      </x:c>
      <x:c r="G10" s="28" t="n">
        <x:f>ROUND(0.8*M10+0.2*O10,0)</x:f>
        <x:v>89</x:v>
      </x:c>
      <x:c r="H10" s="28" t="n">
        <x:f>ROUND(0.65*N10+0.35*P10,0)</x:f>
        <x:v>80</x:v>
      </x:c>
      <x:c r="I10" s="28" t="n">
        <x:f>ROUND(0.65*O10+0.25*P10+0.1*Q10,0)</x:f>
        <x:v>102</x:v>
      </x:c>
      <x:c r="J10" s="28" t="n">
        <x:f>Q10</x:f>
        <x:v>100</x:v>
      </x:c>
      <x:c r="K10" s="28" t="n">
        <x:f>SUM(E10,G10:J10)</x:f>
        <x:v>449</x:v>
      </x:c>
      <x:c r="L10" s="28" t="n">
        <x:v>78</x:v>
      </x:c>
      <x:c r="M10" s="28" t="n">
        <x:v>84</x:v>
      </x:c>
      <x:c r="N10" s="28" t="n">
        <x:v>78</x:v>
      </x:c>
      <x:c r="O10" s="28" t="n">
        <x:v>109</x:v>
      </x:c>
      <x:c r="P10" s="28" t="n">
        <x:v>85</x:v>
      </x:c>
      <x:c r="Q10" s="28" t="n">
        <x:v>100</x:v>
      </x:c>
      <x:c r="R10" s="30" t="str">
        <x:v>Strong INT/SPD; High MP; future MATK lean</x:v>
      </x:c>
    </x:row>
    <x:row r="11">
      <x:c r="A11" s="28" t="n">
        <x:v>7</x:v>
      </x:c>
      <x:c r="B11" s="30" t="str">
        <x:v>Squirtle</x:v>
      </x:c>
      <x:c r="C11" s="30" t="str">
        <x:v>Water</x:v>
      </x:c>
      <x:c r="D11" s="28" t="str">
        <x:f>IF(M11&gt;=O11*1.15,"Physical",IF(O11&gt;=M11*1.15,"Magic","Hybrid"))</x:f>
        <x:v>Hybrid</x:v>
      </x:c>
      <x:c r="E11" s="28" t="n">
        <x:f>L11</x:f>
        <x:v>44</x:v>
      </x:c>
      <x:c r="F11" s="28" t="n">
        <x:f>ROUND(MAX(20,0.45*O11+0.15*P11+0.05*Q11),0)</x:f>
        <x:v>34</x:v>
      </x:c>
      <x:c r="G11" s="28" t="n">
        <x:f>ROUND(0.8*M11+0.2*O11,0)</x:f>
        <x:v>48</x:v>
      </x:c>
      <x:c r="H11" s="28" t="n">
        <x:f>ROUND(0.65*N11+0.35*P11,0)</x:f>
        <x:v>65</x:v>
      </x:c>
      <x:c r="I11" s="28" t="n">
        <x:f>ROUND(0.65*O11+0.25*P11+0.1*Q11,0)</x:f>
        <x:v>53</x:v>
      </x:c>
      <x:c r="J11" s="28" t="n">
        <x:f>Q11</x:f>
        <x:v>43</x:v>
      </x:c>
      <x:c r="K11" s="28" t="n">
        <x:f>SUM(E11,G11:J11)</x:f>
        <x:v>253</x:v>
      </x:c>
      <x:c r="L11" s="28" t="n">
        <x:v>44</x:v>
      </x:c>
      <x:c r="M11" s="28" t="n">
        <x:v>48</x:v>
      </x:c>
      <x:c r="N11" s="28" t="n">
        <x:v>65</x:v>
      </x:c>
      <x:c r="O11" s="28" t="n">
        <x:v>50</x:v>
      </x:c>
      <x:c r="P11" s="28" t="n">
        <x:v>64</x:v>
      </x:c>
      <x:c r="Q11" s="28" t="n">
        <x:v>43</x:v>
      </x:c>
      <x:c r="R11" s="30" t="str">
        <x:v>Strong DEF/INT</x:v>
      </x:c>
    </x:row>
    <x:row r="12">
      <x:c r="A12" s="28" t="n">
        <x:v>8</x:v>
      </x:c>
      <x:c r="B12" s="30" t="str">
        <x:v>Wartortle</x:v>
      </x:c>
      <x:c r="C12" s="30" t="str">
        <x:v>Water</x:v>
      </x:c>
      <x:c r="D12" s="28" t="str">
        <x:f>IF(M12&gt;=O12*1.15,"Physical",IF(O12&gt;=M12*1.15,"Magic","Hybrid"))</x:f>
        <x:v>Hybrid</x:v>
      </x:c>
      <x:c r="E12" s="28" t="n">
        <x:f>L12</x:f>
        <x:v>59</x:v>
      </x:c>
      <x:c r="F12" s="28" t="n">
        <x:f>ROUND(MAX(20,0.45*O12+0.15*P12+0.05*Q12),0)</x:f>
        <x:v>44</x:v>
      </x:c>
      <x:c r="G12" s="28" t="n">
        <x:f>ROUND(0.8*M12+0.2*O12,0)</x:f>
        <x:v>63</x:v>
      </x:c>
      <x:c r="H12" s="28" t="n">
        <x:f>ROUND(0.65*N12+0.35*P12,0)</x:f>
        <x:v>80</x:v>
      </x:c>
      <x:c r="I12" s="28" t="n">
        <x:f>ROUND(0.65*O12+0.25*P12+0.1*Q12,0)</x:f>
        <x:v>68</x:v>
      </x:c>
      <x:c r="J12" s="28" t="n">
        <x:f>Q12</x:f>
        <x:v>58</x:v>
      </x:c>
      <x:c r="K12" s="28" t="n">
        <x:f>SUM(E12,G12:J12)</x:f>
        <x:v>328</x:v>
      </x:c>
      <x:c r="L12" s="28" t="n">
        <x:v>59</x:v>
      </x:c>
      <x:c r="M12" s="28" t="n">
        <x:v>63</x:v>
      </x:c>
      <x:c r="N12" s="28" t="n">
        <x:v>80</x:v>
      </x:c>
      <x:c r="O12" s="28" t="n">
        <x:v>65</x:v>
      </x:c>
      <x:c r="P12" s="28" t="n">
        <x:v>80</x:v>
      </x:c>
      <x:c r="Q12" s="28" t="n">
        <x:v>58</x:v>
      </x:c>
      <x:c r="R12" s="30" t="str">
        <x:v>Strong DEF/INT</x:v>
      </x:c>
    </x:row>
    <x:row r="13">
      <x:c r="A13" s="28" t="n">
        <x:v>9</x:v>
      </x:c>
      <x:c r="B13" s="30" t="str">
        <x:v>Blastoise</x:v>
      </x:c>
      <x:c r="C13" s="30" t="str">
        <x:v>Water</x:v>
      </x:c>
      <x:c r="D13" s="28" t="str">
        <x:f>IF(M13&gt;=O13*1.15,"Physical",IF(O13&gt;=M13*1.15,"Magic","Hybrid"))</x:f>
        <x:v>Hybrid</x:v>
      </x:c>
      <x:c r="E13" s="28" t="n">
        <x:f>L13</x:f>
        <x:v>79</x:v>
      </x:c>
      <x:c r="F13" s="28" t="n">
        <x:f>ROUND(MAX(20,0.45*O13+0.15*P13+0.05*Q13),0)</x:f>
        <x:v>58</x:v>
      </x:c>
      <x:c r="G13" s="28" t="n">
        <x:f>ROUND(0.8*M13+0.2*O13,0)</x:f>
        <x:v>83</x:v>
      </x:c>
      <x:c r="H13" s="28" t="n">
        <x:f>ROUND(0.65*N13+0.35*P13,0)</x:f>
        <x:v>102</x:v>
      </x:c>
      <x:c r="I13" s="28" t="n">
        <x:f>ROUND(0.65*O13+0.25*P13+0.1*Q13,0)</x:f>
        <x:v>89</x:v>
      </x:c>
      <x:c r="J13" s="28" t="n">
        <x:f>Q13</x:f>
        <x:v>78</x:v>
      </x:c>
      <x:c r="K13" s="28" t="n">
        <x:f>SUM(E13,G13:J13)</x:f>
        <x:v>431</x:v>
      </x:c>
      <x:c r="L13" s="28" t="n">
        <x:v>79</x:v>
      </x:c>
      <x:c r="M13" s="28" t="n">
        <x:v>83</x:v>
      </x:c>
      <x:c r="N13" s="28" t="n">
        <x:v>100</x:v>
      </x:c>
      <x:c r="O13" s="28" t="n">
        <x:v>85</x:v>
      </x:c>
      <x:c r="P13" s="28" t="n">
        <x:v>105</x:v>
      </x:c>
      <x:c r="Q13" s="28" t="n">
        <x:v>78</x:v>
      </x:c>
      <x:c r="R13" s="30" t="str">
        <x:v>Strong DEF/INT; High MP</x:v>
      </x:c>
    </x:row>
    <x:row r="14">
      <x:c r="A14" s="28" t="n">
        <x:v>10</x:v>
      </x:c>
      <x:c r="B14" s="30" t="str">
        <x:v>Caterpie</x:v>
      </x:c>
      <x:c r="C14" s="30" t="str">
        <x:v>Bug</x:v>
      </x:c>
      <x:c r="D14" s="28" t="str">
        <x:f>IF(M14&gt;=O14*1.15,"Physical",IF(O14&gt;=M14*1.15,"Magic","Hybrid"))</x:f>
        <x:v>Physical</x:v>
      </x:c>
      <x:c r="E14" s="28" t="n">
        <x:f>L14</x:f>
        <x:v>45</x:v>
      </x:c>
      <x:c r="F14" s="28" t="n">
        <x:f>ROUND(MAX(20,0.45*O14+0.15*P14+0.05*Q14),0)</x:f>
        <x:v>20</x:v>
      </x:c>
      <x:c r="G14" s="28" t="n">
        <x:f>ROUND(0.8*M14+0.2*O14,0)</x:f>
        <x:v>28</x:v>
      </x:c>
      <x:c r="H14" s="28" t="n">
        <x:f>ROUND(0.65*N14+0.35*P14,0)</x:f>
        <x:v>30</x:v>
      </x:c>
      <x:c r="I14" s="28" t="n">
        <x:f>ROUND(0.65*O14+0.25*P14+0.1*Q14,0)</x:f>
        <x:v>23</x:v>
      </x:c>
      <x:c r="J14" s="28" t="n">
        <x:f>Q14</x:f>
        <x:v>45</x:v>
      </x:c>
      <x:c r="K14" s="28" t="n">
        <x:f>SUM(E14,G14:J14)</x:f>
        <x:v>171</x:v>
      </x:c>
      <x:c r="L14" s="28" t="n">
        <x:v>45</x:v>
      </x:c>
      <x:c r="M14" s="28" t="n">
        <x:v>30</x:v>
      </x:c>
      <x:c r="N14" s="28" t="n">
        <x:v>35</x:v>
      </x:c>
      <x:c r="O14" s="28" t="n">
        <x:v>20</x:v>
      </x:c>
      <x:c r="P14" s="28" t="n">
        <x:v>20</x:v>
      </x:c>
      <x:c r="Q14" s="28" t="n">
        <x:v>45</x:v>
      </x:c>
      <x:c r="R14" s="30" t="str">
        <x:v>Strong HP/SPD; Low MP; future PATK lean</x:v>
      </x:c>
    </x:row>
    <x:row r="15">
      <x:c r="A15" s="28" t="n">
        <x:v>11</x:v>
      </x:c>
      <x:c r="B15" s="30" t="str">
        <x:v>Metapod</x:v>
      </x:c>
      <x:c r="C15" s="30" t="str">
        <x:v>Bug</x:v>
      </x:c>
      <x:c r="D15" s="28" t="str">
        <x:f>IF(M15&gt;=O15*1.15,"Physical",IF(O15&gt;=M15*1.15,"Magic","Hybrid"))</x:f>
        <x:v>Magic</x:v>
      </x:c>
      <x:c r="E15" s="28" t="n">
        <x:f>L15</x:f>
        <x:v>50</x:v>
      </x:c>
      <x:c r="F15" s="28" t="n">
        <x:f>ROUND(MAX(20,0.45*O15+0.15*P15+0.05*Q15),0)</x:f>
        <x:v>20</x:v>
      </x:c>
      <x:c r="G15" s="28" t="n">
        <x:f>ROUND(0.8*M15+0.2*O15,0)</x:f>
        <x:v>21</x:v>
      </x:c>
      <x:c r="H15" s="28" t="n">
        <x:f>ROUND(0.65*N15+0.35*P15,0)</x:f>
        <x:v>45</x:v>
      </x:c>
      <x:c r="I15" s="28" t="n">
        <x:f>ROUND(0.65*O15+0.25*P15+0.1*Q15,0)</x:f>
        <x:v>26</x:v>
      </x:c>
      <x:c r="J15" s="28" t="n">
        <x:f>Q15</x:f>
        <x:v>30</x:v>
      </x:c>
      <x:c r="K15" s="28" t="n">
        <x:f>SUM(E15,G15:J15)</x:f>
        <x:v>172</x:v>
      </x:c>
      <x:c r="L15" s="28" t="n">
        <x:v>50</x:v>
      </x:c>
      <x:c r="M15" s="28" t="n">
        <x:v>20</x:v>
      </x:c>
      <x:c r="N15" s="28" t="n">
        <x:v>55</x:v>
      </x:c>
      <x:c r="O15" s="28" t="n">
        <x:v>25</x:v>
      </x:c>
      <x:c r="P15" s="28" t="n">
        <x:v>25</x:v>
      </x:c>
      <x:c r="Q15" s="28" t="n">
        <x:v>30</x:v>
      </x:c>
      <x:c r="R15" s="30" t="str">
        <x:v>Strong HP/DEF; Low MP; future MATK lean</x:v>
      </x:c>
    </x:row>
    <x:row r="16">
      <x:c r="A16" s="28" t="n">
        <x:v>12</x:v>
      </x:c>
      <x:c r="B16" s="30" t="str">
        <x:v>Butterfree</x:v>
      </x:c>
      <x:c r="C16" s="30" t="str">
        <x:v>Bug / Flying</x:v>
      </x:c>
      <x:c r="D16" s="28" t="str">
        <x:f>IF(M16&gt;=O16*1.15,"Physical",IF(O16&gt;=M16*1.15,"Magic","Hybrid"))</x:f>
        <x:v>Magic</x:v>
      </x:c>
      <x:c r="E16" s="28" t="n">
        <x:f>L16</x:f>
        <x:v>60</x:v>
      </x:c>
      <x:c r="F16" s="28" t="n">
        <x:f>ROUND(MAX(20,0.45*O16+0.15*P16+0.05*Q16),0)</x:f>
        <x:v>56</x:v>
      </x:c>
      <x:c r="G16" s="28" t="n">
        <x:f>ROUND(0.8*M16+0.2*O16,0)</x:f>
        <x:v>54</x:v>
      </x:c>
      <x:c r="H16" s="28" t="n">
        <x:f>ROUND(0.65*N16+0.35*P16,0)</x:f>
        <x:v>61</x:v>
      </x:c>
      <x:c r="I16" s="28" t="n">
        <x:f>ROUND(0.65*O16+0.25*P16+0.1*Q16,0)</x:f>
        <x:v>86</x:v>
      </x:c>
      <x:c r="J16" s="28" t="n">
        <x:f>Q16</x:f>
        <x:v>70</x:v>
      </x:c>
      <x:c r="K16" s="28" t="n">
        <x:f>SUM(E16,G16:J16)</x:f>
        <x:v>331</x:v>
      </x:c>
      <x:c r="L16" s="28" t="n">
        <x:v>60</x:v>
      </x:c>
      <x:c r="M16" s="28" t="n">
        <x:v>45</x:v>
      </x:c>
      <x:c r="N16" s="28" t="n">
        <x:v>50</x:v>
      </x:c>
      <x:c r="O16" s="28" t="n">
        <x:v>90</x:v>
      </x:c>
      <x:c r="P16" s="28" t="n">
        <x:v>80</x:v>
      </x:c>
      <x:c r="Q16" s="28" t="n">
        <x:v>70</x:v>
      </x:c>
      <x:c r="R16" s="30" t="str">
        <x:v>Strong INT/SPD; future MATK lean</x:v>
      </x:c>
    </x:row>
    <x:row r="17">
      <x:c r="A17" s="28" t="n">
        <x:v>13</x:v>
      </x:c>
      <x:c r="B17" s="30" t="str">
        <x:v>Weedle</x:v>
      </x:c>
      <x:c r="C17" s="30" t="str">
        <x:v>Bug / Poison</x:v>
      </x:c>
      <x:c r="D17" s="28" t="str">
        <x:f>IF(M17&gt;=O17*1.15,"Physical",IF(O17&gt;=M17*1.15,"Magic","Hybrid"))</x:f>
        <x:v>Physical</x:v>
      </x:c>
      <x:c r="E17" s="28" t="n">
        <x:f>L17</x:f>
        <x:v>40</x:v>
      </x:c>
      <x:c r="F17" s="28" t="n">
        <x:f>ROUND(MAX(20,0.45*O17+0.15*P17+0.05*Q17),0)</x:f>
        <x:v>20</x:v>
      </x:c>
      <x:c r="G17" s="28" t="n">
        <x:f>ROUND(0.8*M17+0.2*O17,0)</x:f>
        <x:v>32</x:v>
      </x:c>
      <x:c r="H17" s="28" t="n">
        <x:f>ROUND(0.65*N17+0.35*P17,0)</x:f>
        <x:v>27</x:v>
      </x:c>
      <x:c r="I17" s="28" t="n">
        <x:f>ROUND(0.65*O17+0.25*P17+0.1*Q17,0)</x:f>
        <x:v>23</x:v>
      </x:c>
      <x:c r="J17" s="28" t="n">
        <x:f>Q17</x:f>
        <x:v>50</x:v>
      </x:c>
      <x:c r="K17" s="28" t="n">
        <x:f>SUM(E17,G17:J17)</x:f>
        <x:v>172</x:v>
      </x:c>
      <x:c r="L17" s="28" t="n">
        <x:v>40</x:v>
      </x:c>
      <x:c r="M17" s="28" t="n">
        <x:v>35</x:v>
      </x:c>
      <x:c r="N17" s="28" t="n">
        <x:v>30</x:v>
      </x:c>
      <x:c r="O17" s="28" t="n">
        <x:v>20</x:v>
      </x:c>
      <x:c r="P17" s="28" t="n">
        <x:v>20</x:v>
      </x:c>
      <x:c r="Q17" s="28" t="n">
        <x:v>50</x:v>
      </x:c>
      <x:c r="R17" s="30" t="str">
        <x:v>Strong SPD/HP; Low MP; future PATK lean</x:v>
      </x:c>
    </x:row>
    <x:row r="18">
      <x:c r="A18" s="28" t="n">
        <x:v>14</x:v>
      </x:c>
      <x:c r="B18" s="30" t="str">
        <x:v>Kakuna</x:v>
      </x:c>
      <x:c r="C18" s="30" t="str">
        <x:v>Bug / Poison</x:v>
      </x:c>
      <x:c r="D18" s="28" t="str">
        <x:f>IF(M18&gt;=O18*1.15,"Physical",IF(O18&gt;=M18*1.15,"Magic","Hybrid"))</x:f>
        <x:v>Hybrid</x:v>
      </x:c>
      <x:c r="E18" s="28" t="n">
        <x:f>L18</x:f>
        <x:v>45</x:v>
      </x:c>
      <x:c r="F18" s="28" t="n">
        <x:f>ROUND(MAX(20,0.45*O18+0.15*P18+0.05*Q18),0)</x:f>
        <x:v>20</x:v>
      </x:c>
      <x:c r="G18" s="28" t="n">
        <x:f>ROUND(0.8*M18+0.2*O18,0)</x:f>
        <x:v>25</x:v>
      </x:c>
      <x:c r="H18" s="28" t="n">
        <x:f>ROUND(0.65*N18+0.35*P18,0)</x:f>
        <x:v>41</x:v>
      </x:c>
      <x:c r="I18" s="28" t="n">
        <x:f>ROUND(0.65*O18+0.25*P18+0.1*Q18,0)</x:f>
        <x:v>26</x:v>
      </x:c>
      <x:c r="J18" s="28" t="n">
        <x:f>Q18</x:f>
        <x:v>35</x:v>
      </x:c>
      <x:c r="K18" s="28" t="n">
        <x:f>SUM(E18,G18:J18)</x:f>
        <x:v>172</x:v>
      </x:c>
      <x:c r="L18" s="28" t="n">
        <x:v>45</x:v>
      </x:c>
      <x:c r="M18" s="28" t="n">
        <x:v>25</x:v>
      </x:c>
      <x:c r="N18" s="28" t="n">
        <x:v>50</x:v>
      </x:c>
      <x:c r="O18" s="28" t="n">
        <x:v>25</x:v>
      </x:c>
      <x:c r="P18" s="28" t="n">
        <x:v>25</x:v>
      </x:c>
      <x:c r="Q18" s="28" t="n">
        <x:v>35</x:v>
      </x:c>
      <x:c r="R18" s="30" t="str">
        <x:v>Strong HP/DEF; Low MP</x:v>
      </x:c>
    </x:row>
    <x:row r="19">
      <x:c r="A19" s="28" t="n">
        <x:v>15</x:v>
      </x:c>
      <x:c r="B19" s="30" t="str">
        <x:v>Beedrill</x:v>
      </x:c>
      <x:c r="C19" s="30" t="str">
        <x:v>Bug / Poison</x:v>
      </x:c>
      <x:c r="D19" s="28" t="str">
        <x:f>IF(M19&gt;=O19*1.15,"Physical",IF(O19&gt;=M19*1.15,"Magic","Hybrid"))</x:f>
        <x:v>Physical</x:v>
      </x:c>
      <x:c r="E19" s="28" t="n">
        <x:f>L19</x:f>
        <x:v>65</x:v>
      </x:c>
      <x:c r="F19" s="28" t="n">
        <x:f>ROUND(MAX(20,0.45*O19+0.15*P19+0.05*Q19),0)</x:f>
        <x:v>36</x:v>
      </x:c>
      <x:c r="G19" s="28" t="n">
        <x:f>ROUND(0.8*M19+0.2*O19,0)</x:f>
        <x:v>81</x:v>
      </x:c>
      <x:c r="H19" s="28" t="n">
        <x:f>ROUND(0.65*N19+0.35*P19,0)</x:f>
        <x:v>54</x:v>
      </x:c>
      <x:c r="I19" s="28" t="n">
        <x:f>ROUND(0.65*O19+0.25*P19+0.1*Q19,0)</x:f>
        <x:v>57</x:v>
      </x:c>
      <x:c r="J19" s="28" t="n">
        <x:f>Q19</x:f>
        <x:v>75</x:v>
      </x:c>
      <x:c r="K19" s="28" t="n">
        <x:f>SUM(E19,G19:J19)</x:f>
        <x:v>332</x:v>
      </x:c>
      <x:c r="L19" s="28" t="n">
        <x:v>65</x:v>
      </x:c>
      <x:c r="M19" s="28" t="n">
        <x:v>90</x:v>
      </x:c>
      <x:c r="N19" s="28" t="n">
        <x:v>40</x:v>
      </x:c>
      <x:c r="O19" s="28" t="n">
        <x:v>45</x:v>
      </x:c>
      <x:c r="P19" s="28" t="n">
        <x:v>80</x:v>
      </x:c>
      <x:c r="Q19" s="28" t="n">
        <x:v>75</x:v>
      </x:c>
      <x:c r="R19" s="30" t="str">
        <x:v>Strong STR/SPD; future PATK lean</x:v>
      </x:c>
    </x:row>
    <x:row r="20">
      <x:c r="A20" s="28" t="n">
        <x:v>16</x:v>
      </x:c>
      <x:c r="B20" s="30" t="str">
        <x:v>Pidgey</x:v>
      </x:c>
      <x:c r="C20" s="30" t="str">
        <x:v>Normal / Flying</x:v>
      </x:c>
      <x:c r="D20" s="28" t="str">
        <x:f>IF(M20&gt;=O20*1.15,"Physical",IF(O20&gt;=M20*1.15,"Magic","Hybrid"))</x:f>
        <x:v>Physical</x:v>
      </x:c>
      <x:c r="E20" s="28" t="n">
        <x:f>L20</x:f>
        <x:v>40</x:v>
      </x:c>
      <x:c r="F20" s="28" t="n">
        <x:f>ROUND(MAX(20,0.45*O20+0.15*P20+0.05*Q20),0)</x:f>
        <x:v>24</x:v>
      </x:c>
      <x:c r="G20" s="28" t="n">
        <x:f>ROUND(0.8*M20+0.2*O20,0)</x:f>
        <x:v>43</x:v>
      </x:c>
      <x:c r="H20" s="28" t="n">
        <x:f>ROUND(0.65*N20+0.35*P20,0)</x:f>
        <x:v>38</x:v>
      </x:c>
      <x:c r="I20" s="28" t="n">
        <x:f>ROUND(0.65*O20+0.25*P20+0.1*Q20,0)</x:f>
        <x:v>37</x:v>
      </x:c>
      <x:c r="J20" s="28" t="n">
        <x:f>Q20</x:f>
        <x:v>56</x:v>
      </x:c>
      <x:c r="K20" s="28" t="n">
        <x:f>SUM(E20,G20:J20)</x:f>
        <x:v>214</x:v>
      </x:c>
      <x:c r="L20" s="28" t="n">
        <x:v>40</x:v>
      </x:c>
      <x:c r="M20" s="28" t="n">
        <x:v>45</x:v>
      </x:c>
      <x:c r="N20" s="28" t="n">
        <x:v>40</x:v>
      </x:c>
      <x:c r="O20" s="28" t="n">
        <x:v>35</x:v>
      </x:c>
      <x:c r="P20" s="28" t="n">
        <x:v>35</x:v>
      </x:c>
      <x:c r="Q20" s="28" t="n">
        <x:v>56</x:v>
      </x:c>
      <x:c r="R20" s="30" t="str">
        <x:v>Strong SPD/STR; future PATK lean</x:v>
      </x:c>
    </x:row>
    <x:row r="21">
      <x:c r="A21" s="28" t="n">
        <x:v>17</x:v>
      </x:c>
      <x:c r="B21" s="30" t="str">
        <x:v>Pidgeotto</x:v>
      </x:c>
      <x:c r="C21" s="30" t="str">
        <x:v>Normal / Flying</x:v>
      </x:c>
      <x:c r="D21" s="28" t="str">
        <x:f>IF(M21&gt;=O21*1.15,"Physical",IF(O21&gt;=M21*1.15,"Magic","Hybrid"))</x:f>
        <x:v>Physical</x:v>
      </x:c>
      <x:c r="E21" s="28" t="n">
        <x:f>L21</x:f>
        <x:v>63</x:v>
      </x:c>
      <x:c r="F21" s="28" t="n">
        <x:f>ROUND(MAX(20,0.45*O21+0.15*P21+0.05*Q21),0)</x:f>
        <x:v>34</x:v>
      </x:c>
      <x:c r="G21" s="28" t="n">
        <x:f>ROUND(0.8*M21+0.2*O21,0)</x:f>
        <x:v>58</x:v>
      </x:c>
      <x:c r="H21" s="28" t="n">
        <x:f>ROUND(0.65*N21+0.35*P21,0)</x:f>
        <x:v>53</x:v>
      </x:c>
      <x:c r="I21" s="28" t="n">
        <x:f>ROUND(0.65*O21+0.25*P21+0.1*Q21,0)</x:f>
        <x:v>52</x:v>
      </x:c>
      <x:c r="J21" s="28" t="n">
        <x:f>Q21</x:f>
        <x:v>71</x:v>
      </x:c>
      <x:c r="K21" s="28" t="n">
        <x:f>SUM(E21,G21:J21)</x:f>
        <x:v>297</x:v>
      </x:c>
      <x:c r="L21" s="28" t="n">
        <x:v>63</x:v>
      </x:c>
      <x:c r="M21" s="28" t="n">
        <x:v>60</x:v>
      </x:c>
      <x:c r="N21" s="28" t="n">
        <x:v>55</x:v>
      </x:c>
      <x:c r="O21" s="28" t="n">
        <x:v>50</x:v>
      </x:c>
      <x:c r="P21" s="28" t="n">
        <x:v>50</x:v>
      </x:c>
      <x:c r="Q21" s="28" t="n">
        <x:v>71</x:v>
      </x:c>
      <x:c r="R21" s="30" t="str">
        <x:v>Strong SPD/HP; future PATK lean</x:v>
      </x:c>
    </x:row>
    <x:row r="22">
      <x:c r="A22" s="28" t="n">
        <x:v>18</x:v>
      </x:c>
      <x:c r="B22" s="30" t="str">
        <x:v>Pidgeot</x:v>
      </x:c>
      <x:c r="C22" s="30" t="str">
        <x:v>Normal / Flying</x:v>
      </x:c>
      <x:c r="D22" s="28" t="str">
        <x:f>IF(M22&gt;=O22*1.15,"Physical",IF(O22&gt;=M22*1.15,"Magic","Hybrid"))</x:f>
        <x:v>Hybrid</x:v>
      </x:c>
      <x:c r="E22" s="28" t="n">
        <x:f>L22</x:f>
        <x:v>83</x:v>
      </x:c>
      <x:c r="F22" s="28" t="n">
        <x:f>ROUND(MAX(20,0.45*O22+0.15*P22+0.05*Q22),0)</x:f>
        <x:v>47</x:v>
      </x:c>
      <x:c r="G22" s="28" t="n">
        <x:f>ROUND(0.8*M22+0.2*O22,0)</x:f>
        <x:v>78</x:v>
      </x:c>
      <x:c r="H22" s="28" t="n">
        <x:f>ROUND(0.65*N22+0.35*P22,0)</x:f>
        <x:v>73</x:v>
      </x:c>
      <x:c r="I22" s="28" t="n">
        <x:f>ROUND(0.65*O22+0.25*P22+0.1*Q22,0)</x:f>
        <x:v>73</x:v>
      </x:c>
      <x:c r="J22" s="28" t="n">
        <x:f>Q22</x:f>
        <x:v>101</x:v>
      </x:c>
      <x:c r="K22" s="28" t="n">
        <x:f>SUM(E22,G22:J22)</x:f>
        <x:v>408</x:v>
      </x:c>
      <x:c r="L22" s="28" t="n">
        <x:v>83</x:v>
      </x:c>
      <x:c r="M22" s="28" t="n">
        <x:v>80</x:v>
      </x:c>
      <x:c r="N22" s="28" t="n">
        <x:v>75</x:v>
      </x:c>
      <x:c r="O22" s="28" t="n">
        <x:v>70</x:v>
      </x:c>
      <x:c r="P22" s="28" t="n">
        <x:v>70</x:v>
      </x:c>
      <x:c r="Q22" s="28" t="n">
        <x:v>101</x:v>
      </x:c>
      <x:c r="R22" s="30" t="str">
        <x:v>Strong SPD/HP</x:v>
      </x:c>
    </x:row>
    <x:row r="23">
      <x:c r="A23" s="28" t="n">
        <x:v>19</x:v>
      </x:c>
      <x:c r="B23" s="30" t="str">
        <x:v>Rattata</x:v>
      </x:c>
      <x:c r="C23" s="30" t="str">
        <x:v>Normal</x:v>
      </x:c>
      <x:c r="D23" s="28" t="str">
        <x:f>IF(M23&gt;=O23*1.15,"Physical",IF(O23&gt;=M23*1.15,"Magic","Hybrid"))</x:f>
        <x:v>Physical</x:v>
      </x:c>
      <x:c r="E23" s="28" t="n">
        <x:f>L23</x:f>
        <x:v>30</x:v>
      </x:c>
      <x:c r="F23" s="28" t="n">
        <x:f>ROUND(MAX(20,0.45*O23+0.15*P23+0.05*Q23),0)</x:f>
        <x:v>20</x:v>
      </x:c>
      <x:c r="G23" s="28" t="n">
        <x:f>ROUND(0.8*M23+0.2*O23,0)</x:f>
        <x:v>50</x:v>
      </x:c>
      <x:c r="H23" s="28" t="n">
        <x:f>ROUND(0.65*N23+0.35*P23,0)</x:f>
        <x:v>35</x:v>
      </x:c>
      <x:c r="I23" s="28" t="n">
        <x:f>ROUND(0.65*O23+0.25*P23+0.1*Q23,0)</x:f>
        <x:v>32</x:v>
      </x:c>
      <x:c r="J23" s="28" t="n">
        <x:f>Q23</x:f>
        <x:v>72</x:v>
      </x:c>
      <x:c r="K23" s="28" t="n">
        <x:f>SUM(E23,G23:J23)</x:f>
        <x:v>219</x:v>
      </x:c>
      <x:c r="L23" s="28" t="n">
        <x:v>30</x:v>
      </x:c>
      <x:c r="M23" s="28" t="n">
        <x:v>56</x:v>
      </x:c>
      <x:c r="N23" s="28" t="n">
        <x:v>35</x:v>
      </x:c>
      <x:c r="O23" s="28" t="n">
        <x:v>25</x:v>
      </x:c>
      <x:c r="P23" s="28" t="n">
        <x:v>35</x:v>
      </x:c>
      <x:c r="Q23" s="28" t="n">
        <x:v>72</x:v>
      </x:c>
      <x:c r="R23" s="30" t="str">
        <x:v>Strong SPD/STR; Low MP; future PATK lean</x:v>
      </x:c>
    </x:row>
    <x:row r="24">
      <x:c r="A24" s="28" t="n">
        <x:v>20</x:v>
      </x:c>
      <x:c r="B24" s="30" t="str">
        <x:v>Raticate</x:v>
      </x:c>
      <x:c r="C24" s="30" t="str">
        <x:v>Normal</x:v>
      </x:c>
      <x:c r="D24" s="28" t="str">
        <x:f>IF(M24&gt;=O24*1.15,"Physical",IF(O24&gt;=M24*1.15,"Magic","Hybrid"))</x:f>
        <x:v>Physical</x:v>
      </x:c>
      <x:c r="E24" s="28" t="n">
        <x:f>L24</x:f>
        <x:v>55</x:v>
      </x:c>
      <x:c r="F24" s="28" t="n">
        <x:f>ROUND(MAX(20,0.45*O24+0.15*P24+0.05*Q24),0)</x:f>
        <x:v>38</x:v>
      </x:c>
      <x:c r="G24" s="28" t="n">
        <x:f>ROUND(0.8*M24+0.2*O24,0)</x:f>
        <x:v>75</x:v>
      </x:c>
      <x:c r="H24" s="28" t="n">
        <x:f>ROUND(0.65*N24+0.35*P24,0)</x:f>
        <x:v>64</x:v>
      </x:c>
      <x:c r="I24" s="28" t="n">
        <x:f>ROUND(0.65*O24+0.25*P24+0.1*Q24,0)</x:f>
        <x:v>60</x:v>
      </x:c>
      <x:c r="J24" s="28" t="n">
        <x:f>Q24</x:f>
        <x:v>97</x:v>
      </x:c>
      <x:c r="K24" s="28" t="n">
        <x:f>SUM(E24,G24:J24)</x:f>
        <x:v>351</x:v>
      </x:c>
      <x:c r="L24" s="28" t="n">
        <x:v>55</x:v>
      </x:c>
      <x:c r="M24" s="28" t="n">
        <x:v>81</x:v>
      </x:c>
      <x:c r="N24" s="28" t="n">
        <x:v>60</x:v>
      </x:c>
      <x:c r="O24" s="28" t="n">
        <x:v>50</x:v>
      </x:c>
      <x:c r="P24" s="28" t="n">
        <x:v>70</x:v>
      </x:c>
      <x:c r="Q24" s="28" t="n">
        <x:v>97</x:v>
      </x:c>
      <x:c r="R24" s="30" t="str">
        <x:v>Strong SPD/STR; future PATK lean</x:v>
      </x:c>
    </x:row>
    <x:row r="25">
      <x:c r="A25" s="28" t="n">
        <x:v>21</x:v>
      </x:c>
      <x:c r="B25" s="30" t="str">
        <x:v>Spearow</x:v>
      </x:c>
      <x:c r="C25" s="30" t="str">
        <x:v>Normal / Flying</x:v>
      </x:c>
      <x:c r="D25" s="28" t="str">
        <x:f>IF(M25&gt;=O25*1.15,"Physical",IF(O25&gt;=M25*1.15,"Magic","Hybrid"))</x:f>
        <x:v>Physical</x:v>
      </x:c>
      <x:c r="E25" s="28" t="n">
        <x:f>L25</x:f>
        <x:v>40</x:v>
      </x:c>
      <x:c r="F25" s="28" t="n">
        <x:f>ROUND(MAX(20,0.45*O25+0.15*P25+0.05*Q25),0)</x:f>
        <x:v>22</x:v>
      </x:c>
      <x:c r="G25" s="28" t="n">
        <x:f>ROUND(0.8*M25+0.2*O25,0)</x:f>
        <x:v>54</x:v>
      </x:c>
      <x:c r="H25" s="28" t="n">
        <x:f>ROUND(0.65*N25+0.35*P25,0)</x:f>
        <x:v>30</x:v>
      </x:c>
      <x:c r="I25" s="28" t="n">
        <x:f>ROUND(0.65*O25+0.25*P25+0.1*Q25,0)</x:f>
        <x:v>35</x:v>
      </x:c>
      <x:c r="J25" s="28" t="n">
        <x:f>Q25</x:f>
        <x:v>70</x:v>
      </x:c>
      <x:c r="K25" s="28" t="n">
        <x:f>SUM(E25,G25:J25)</x:f>
        <x:v>229</x:v>
      </x:c>
      <x:c r="L25" s="28" t="n">
        <x:v>40</x:v>
      </x:c>
      <x:c r="M25" s="28" t="n">
        <x:v>60</x:v>
      </x:c>
      <x:c r="N25" s="28" t="n">
        <x:v>30</x:v>
      </x:c>
      <x:c r="O25" s="28" t="n">
        <x:v>31</x:v>
      </x:c>
      <x:c r="P25" s="28" t="n">
        <x:v>31</x:v>
      </x:c>
      <x:c r="Q25" s="28" t="n">
        <x:v>70</x:v>
      </x:c>
      <x:c r="R25" s="30" t="str">
        <x:v>Strong SPD/STR; Low MP; future PATK lean</x:v>
      </x:c>
    </x:row>
    <x:row r="26">
      <x:c r="A26" s="28" t="n">
        <x:v>22</x:v>
      </x:c>
      <x:c r="B26" s="30" t="str">
        <x:v>Fearow</x:v>
      </x:c>
      <x:c r="C26" s="30" t="str">
        <x:v>Normal / Flying</x:v>
      </x:c>
      <x:c r="D26" s="28" t="str">
        <x:f>IF(M26&gt;=O26*1.15,"Physical",IF(O26&gt;=M26*1.15,"Magic","Hybrid"))</x:f>
        <x:v>Physical</x:v>
      </x:c>
      <x:c r="E26" s="28" t="n">
        <x:f>L26</x:f>
        <x:v>65</x:v>
      </x:c>
      <x:c r="F26" s="28" t="n">
        <x:f>ROUND(MAX(20,0.45*O26+0.15*P26+0.05*Q26),0)</x:f>
        <x:v>42</x:v>
      </x:c>
      <x:c r="G26" s="28" t="n">
        <x:f>ROUND(0.8*M26+0.2*O26,0)</x:f>
        <x:v>84</x:v>
      </x:c>
      <x:c r="H26" s="28" t="n">
        <x:f>ROUND(0.65*N26+0.35*P26,0)</x:f>
        <x:v>64</x:v>
      </x:c>
      <x:c r="I26" s="28" t="n">
        <x:f>ROUND(0.65*O26+0.25*P26+0.1*Q26,0)</x:f>
        <x:v>65</x:v>
      </x:c>
      <x:c r="J26" s="28" t="n">
        <x:f>Q26</x:f>
        <x:v>100</x:v>
      </x:c>
      <x:c r="K26" s="28" t="n">
        <x:f>SUM(E26,G26:J26)</x:f>
        <x:v>378</x:v>
      </x:c>
      <x:c r="L26" s="28" t="n">
        <x:v>65</x:v>
      </x:c>
      <x:c r="M26" s="28" t="n">
        <x:v>90</x:v>
      </x:c>
      <x:c r="N26" s="28" t="n">
        <x:v>65</x:v>
      </x:c>
      <x:c r="O26" s="28" t="n">
        <x:v>61</x:v>
      </x:c>
      <x:c r="P26" s="28" t="n">
        <x:v>61</x:v>
      </x:c>
      <x:c r="Q26" s="28" t="n">
        <x:v>100</x:v>
      </x:c>
      <x:c r="R26" s="30" t="str">
        <x:v>Strong SPD/STR; future PATK lean</x:v>
      </x:c>
    </x:row>
    <x:row r="27">
      <x:c r="A27" s="28" t="n">
        <x:v>23</x:v>
      </x:c>
      <x:c r="B27" s="30" t="str">
        <x:v>Ekans</x:v>
      </x:c>
      <x:c r="C27" s="30" t="str">
        <x:v>Poison</x:v>
      </x:c>
      <x:c r="D27" s="28" t="str">
        <x:f>IF(M27&gt;=O27*1.15,"Physical",IF(O27&gt;=M27*1.15,"Magic","Hybrid"))</x:f>
        <x:v>Physical</x:v>
      </x:c>
      <x:c r="E27" s="28" t="n">
        <x:f>L27</x:f>
        <x:v>35</x:v>
      </x:c>
      <x:c r="F27" s="28" t="n">
        <x:f>ROUND(MAX(20,0.45*O27+0.15*P27+0.05*Q27),0)</x:f>
        <x:v>29</x:v>
      </x:c>
      <x:c r="G27" s="28" t="n">
        <x:f>ROUND(0.8*M27+0.2*O27,0)</x:f>
        <x:v>56</x:v>
      </x:c>
      <x:c r="H27" s="28" t="n">
        <x:f>ROUND(0.65*N27+0.35*P27,0)</x:f>
        <x:v>48</x:v>
      </x:c>
      <x:c r="I27" s="28" t="n">
        <x:f>ROUND(0.65*O27+0.25*P27+0.1*Q27,0)</x:f>
        <x:v>45</x:v>
      </x:c>
      <x:c r="J27" s="28" t="n">
        <x:f>Q27</x:f>
        <x:v>55</x:v>
      </x:c>
      <x:c r="K27" s="28" t="n">
        <x:f>SUM(E27,G27:J27)</x:f>
        <x:v>239</x:v>
      </x:c>
      <x:c r="L27" s="28" t="n">
        <x:v>35</x:v>
      </x:c>
      <x:c r="M27" s="28" t="n">
        <x:v>60</x:v>
      </x:c>
      <x:c r="N27" s="28" t="n">
        <x:v>44</x:v>
      </x:c>
      <x:c r="O27" s="28" t="n">
        <x:v>40</x:v>
      </x:c>
      <x:c r="P27" s="28" t="n">
        <x:v>54</x:v>
      </x:c>
      <x:c r="Q27" s="28" t="n">
        <x:v>55</x:v>
      </x:c>
      <x:c r="R27" s="30" t="str">
        <x:v>Strong STR/SPD; future PATK lean</x:v>
      </x:c>
    </x:row>
    <x:row r="28">
      <x:c r="A28" s="28" t="n">
        <x:v>24</x:v>
      </x:c>
      <x:c r="B28" s="30" t="str">
        <x:v>Arbok</x:v>
      </x:c>
      <x:c r="C28" s="30" t="str">
        <x:v>Poison</x:v>
      </x:c>
      <x:c r="D28" s="28" t="str">
        <x:f>IF(M28&gt;=O28*1.15,"Physical",IF(O28&gt;=M28*1.15,"Magic","Hybrid"))</x:f>
        <x:v>Physical</x:v>
      </x:c>
      <x:c r="E28" s="28" t="n">
        <x:f>L28</x:f>
        <x:v>60</x:v>
      </x:c>
      <x:c r="F28" s="28" t="n">
        <x:f>ROUND(MAX(20,0.45*O28+0.15*P28+0.05*Q28),0)</x:f>
        <x:v>45</x:v>
      </x:c>
      <x:c r="G28" s="28" t="n">
        <x:f>ROUND(0.8*M28+0.2*O28,0)</x:f>
        <x:v>89</x:v>
      </x:c>
      <x:c r="H28" s="28" t="n">
        <x:f>ROUND(0.65*N28+0.35*P28,0)</x:f>
        <x:v>73</x:v>
      </x:c>
      <x:c r="I28" s="28" t="n">
        <x:f>ROUND(0.65*O28+0.25*P28+0.1*Q28,0)</x:f>
        <x:v>70</x:v>
      </x:c>
      <x:c r="J28" s="28" t="n">
        <x:f>Q28</x:f>
        <x:v>80</x:v>
      </x:c>
      <x:c r="K28" s="28" t="n">
        <x:f>SUM(E28,G28:J28)</x:f>
        <x:v>372</x:v>
      </x:c>
      <x:c r="L28" s="28" t="n">
        <x:v>60</x:v>
      </x:c>
      <x:c r="M28" s="28" t="n">
        <x:v>95</x:v>
      </x:c>
      <x:c r="N28" s="28" t="n">
        <x:v>69</x:v>
      </x:c>
      <x:c r="O28" s="28" t="n">
        <x:v>65</x:v>
      </x:c>
      <x:c r="P28" s="28" t="n">
        <x:v>79</x:v>
      </x:c>
      <x:c r="Q28" s="28" t="n">
        <x:v>80</x:v>
      </x:c>
      <x:c r="R28" s="30" t="str">
        <x:v>Strong STR/SPD; future PATK lean</x:v>
      </x:c>
    </x:row>
    <x:row r="29">
      <x:c r="A29" s="28" t="n">
        <x:v>25</x:v>
      </x:c>
      <x:c r="B29" s="30" t="str">
        <x:v>Pikachu</x:v>
      </x:c>
      <x:c r="C29" s="30" t="str">
        <x:v>Electric</x:v>
      </x:c>
      <x:c r="D29" s="28" t="str">
        <x:f>IF(M29&gt;=O29*1.15,"Physical",IF(O29&gt;=M29*1.15,"Magic","Hybrid"))</x:f>
        <x:v>Hybrid</x:v>
      </x:c>
      <x:c r="E29" s="28" t="n">
        <x:f>L29</x:f>
        <x:v>35</x:v>
      </x:c>
      <x:c r="F29" s="28" t="n">
        <x:f>ROUND(MAX(20,0.45*O29+0.15*P29+0.05*Q29),0)</x:f>
        <x:v>35</x:v>
      </x:c>
      <x:c r="G29" s="28" t="n">
        <x:f>ROUND(0.8*M29+0.2*O29,0)</x:f>
        <x:v>54</x:v>
      </x:c>
      <x:c r="H29" s="28" t="n">
        <x:f>ROUND(0.65*N29+0.35*P29,0)</x:f>
        <x:v>44</x:v>
      </x:c>
      <x:c r="I29" s="28" t="n">
        <x:f>ROUND(0.65*O29+0.25*P29+0.1*Q29,0)</x:f>
        <x:v>54</x:v>
      </x:c>
      <x:c r="J29" s="28" t="n">
        <x:f>Q29</x:f>
        <x:v>90</x:v>
      </x:c>
      <x:c r="K29" s="28" t="n">
        <x:f>SUM(E29,G29:J29)</x:f>
        <x:v>277</x:v>
      </x:c>
      <x:c r="L29" s="28" t="n">
        <x:v>35</x:v>
      </x:c>
      <x:c r="M29" s="28" t="n">
        <x:v>55</x:v>
      </x:c>
      <x:c r="N29" s="28" t="n">
        <x:v>40</x:v>
      </x:c>
      <x:c r="O29" s="28" t="n">
        <x:v>50</x:v>
      </x:c>
      <x:c r="P29" s="28" t="n">
        <x:v>50</x:v>
      </x:c>
      <x:c r="Q29" s="28" t="n">
        <x:v>90</x:v>
      </x:c>
      <x:c r="R29" s="30" t="str">
        <x:v>Strong SPD/STR</x:v>
      </x:c>
    </x:row>
    <x:row r="30">
      <x:c r="A30" s="28" t="n">
        <x:v>26</x:v>
      </x:c>
      <x:c r="B30" s="30" t="str">
        <x:v>Raichu</x:v>
      </x:c>
      <x:c r="C30" s="30" t="str">
        <x:v>Electric</x:v>
      </x:c>
      <x:c r="D30" s="28" t="str">
        <x:f>IF(M30&gt;=O30*1.15,"Physical",IF(O30&gt;=M30*1.15,"Magic","Hybrid"))</x:f>
        <x:v>Hybrid</x:v>
      </x:c>
      <x:c r="E30" s="28" t="n">
        <x:f>L30</x:f>
        <x:v>60</x:v>
      </x:c>
      <x:c r="F30" s="28" t="n">
        <x:f>ROUND(MAX(20,0.45*O30+0.15*P30+0.05*Q30),0)</x:f>
        <x:v>58</x:v>
      </x:c>
      <x:c r="G30" s="28" t="n">
        <x:f>ROUND(0.8*M30+0.2*O30,0)</x:f>
        <x:v>90</x:v>
      </x:c>
      <x:c r="H30" s="28" t="n">
        <x:f>ROUND(0.65*N30+0.35*P30,0)</x:f>
        <x:v>64</x:v>
      </x:c>
      <x:c r="I30" s="28" t="n">
        <x:f>ROUND(0.65*O30+0.25*P30+0.1*Q30,0)</x:f>
        <x:v>90</x:v>
      </x:c>
      <x:c r="J30" s="28" t="n">
        <x:f>Q30</x:f>
        <x:v>110</x:v>
      </x:c>
      <x:c r="K30" s="28" t="n">
        <x:f>SUM(E30,G30:J30)</x:f>
        <x:v>414</x:v>
      </x:c>
      <x:c r="L30" s="28" t="n">
        <x:v>60</x:v>
      </x:c>
      <x:c r="M30" s="28" t="n">
        <x:v>90</x:v>
      </x:c>
      <x:c r="N30" s="28" t="n">
        <x:v>55</x:v>
      </x:c>
      <x:c r="O30" s="28" t="n">
        <x:v>90</x:v>
      </x:c>
      <x:c r="P30" s="28" t="n">
        <x:v>80</x:v>
      </x:c>
      <x:c r="Q30" s="28" t="n">
        <x:v>110</x:v>
      </x:c>
      <x:c r="R30" s="30" t="str">
        <x:v>Strong SPD/STR; High MP</x:v>
      </x:c>
    </x:row>
    <x:row r="31">
      <x:c r="A31" s="28" t="n">
        <x:v>27</x:v>
      </x:c>
      <x:c r="B31" s="30" t="str">
        <x:v>Sandshrew</x:v>
      </x:c>
      <x:c r="C31" s="30" t="str">
        <x:v>Ground</x:v>
      </x:c>
      <x:c r="D31" s="28" t="str">
        <x:f>IF(M31&gt;=O31*1.15,"Physical",IF(O31&gt;=M31*1.15,"Magic","Hybrid"))</x:f>
        <x:v>Physical</x:v>
      </x:c>
      <x:c r="E31" s="28" t="n">
        <x:f>L31</x:f>
        <x:v>50</x:v>
      </x:c>
      <x:c r="F31" s="28" t="n">
        <x:f>ROUND(MAX(20,0.45*O31+0.15*P31+0.05*Q31),0)</x:f>
        <x:v>20</x:v>
      </x:c>
      <x:c r="G31" s="28" t="n">
        <x:f>ROUND(0.8*M31+0.2*O31,0)</x:f>
        <x:v>64</x:v>
      </x:c>
      <x:c r="H31" s="28" t="n">
        <x:f>ROUND(0.65*N31+0.35*P31,0)</x:f>
        <x:v>66</x:v>
      </x:c>
      <x:c r="I31" s="28" t="n">
        <x:f>ROUND(0.65*O31+0.25*P31+0.1*Q31,0)</x:f>
        <x:v>25</x:v>
      </x:c>
      <x:c r="J31" s="28" t="n">
        <x:f>Q31</x:f>
        <x:v>40</x:v>
      </x:c>
      <x:c r="K31" s="28" t="n">
        <x:f>SUM(E31,G31:J31)</x:f>
        <x:v>245</x:v>
      </x:c>
      <x:c r="L31" s="28" t="n">
        <x:v>50</x:v>
      </x:c>
      <x:c r="M31" s="28" t="n">
        <x:v>75</x:v>
      </x:c>
      <x:c r="N31" s="28" t="n">
        <x:v>85</x:v>
      </x:c>
      <x:c r="O31" s="28" t="n">
        <x:v>20</x:v>
      </x:c>
      <x:c r="P31" s="28" t="n">
        <x:v>30</x:v>
      </x:c>
      <x:c r="Q31" s="28" t="n">
        <x:v>40</x:v>
      </x:c>
      <x:c r="R31" s="30" t="str">
        <x:v>Strong DEF/STR; Low MP; future PATK lean</x:v>
      </x:c>
    </x:row>
    <x:row r="32">
      <x:c r="A32" s="28" t="n">
        <x:v>28</x:v>
      </x:c>
      <x:c r="B32" s="30" t="str">
        <x:v>Sandslash</x:v>
      </x:c>
      <x:c r="C32" s="30" t="str">
        <x:v>Ground</x:v>
      </x:c>
      <x:c r="D32" s="28" t="str">
        <x:f>IF(M32&gt;=O32*1.15,"Physical",IF(O32&gt;=M32*1.15,"Magic","Hybrid"))</x:f>
        <x:v>Physical</x:v>
      </x:c>
      <x:c r="E32" s="28" t="n">
        <x:f>L32</x:f>
        <x:v>75</x:v>
      </x:c>
      <x:c r="F32" s="28" t="n">
        <x:f>ROUND(MAX(20,0.45*O32+0.15*P32+0.05*Q32),0)</x:f>
        <x:v>32</x:v>
      </x:c>
      <x:c r="G32" s="28" t="n">
        <x:f>ROUND(0.8*M32+0.2*O32,0)</x:f>
        <x:v>89</x:v>
      </x:c>
      <x:c r="H32" s="28" t="n">
        <x:f>ROUND(0.65*N32+0.35*P32,0)</x:f>
        <x:v>91</x:v>
      </x:c>
      <x:c r="I32" s="28" t="n">
        <x:f>ROUND(0.65*O32+0.25*P32+0.1*Q32,0)</x:f>
        <x:v>50</x:v>
      </x:c>
      <x:c r="J32" s="28" t="n">
        <x:f>Q32</x:f>
        <x:v>65</x:v>
      </x:c>
      <x:c r="K32" s="28" t="n">
        <x:f>SUM(E32,G32:J32)</x:f>
        <x:v>370</x:v>
      </x:c>
      <x:c r="L32" s="28" t="n">
        <x:v>75</x:v>
      </x:c>
      <x:c r="M32" s="28" t="n">
        <x:v>100</x:v>
      </x:c>
      <x:c r="N32" s="28" t="n">
        <x:v>110</x:v>
      </x:c>
      <x:c r="O32" s="28" t="n">
        <x:v>45</x:v>
      </x:c>
      <x:c r="P32" s="28" t="n">
        <x:v>55</x:v>
      </x:c>
      <x:c r="Q32" s="28" t="n">
        <x:v>65</x:v>
      </x:c>
      <x:c r="R32" s="30" t="str">
        <x:v>Strong DEF/STR; future PATK lean</x:v>
      </x:c>
    </x:row>
    <x:row r="33">
      <x:c r="A33" s="28" t="n">
        <x:v>29</x:v>
      </x:c>
      <x:c r="B33" s="30" t="str">
        <x:v>Nidoran F</x:v>
      </x:c>
      <x:c r="C33" s="30" t="str">
        <x:v>Poison</x:v>
      </x:c>
      <x:c r="D33" s="28" t="str">
        <x:f>IF(M33&gt;=O33*1.15,"Physical",IF(O33&gt;=M33*1.15,"Magic","Hybrid"))</x:f>
        <x:v>Physical</x:v>
      </x:c>
      <x:c r="E33" s="28" t="n">
        <x:f>L33</x:f>
        <x:v>55</x:v>
      </x:c>
      <x:c r="F33" s="28" t="n">
        <x:f>ROUND(MAX(20,0.45*O33+0.15*P33+0.05*Q33),0)</x:f>
        <x:v>26</x:v>
      </x:c>
      <x:c r="G33" s="28" t="n">
        <x:f>ROUND(0.8*M33+0.2*O33,0)</x:f>
        <x:v>46</x:v>
      </x:c>
      <x:c r="H33" s="28" t="n">
        <x:f>ROUND(0.65*N33+0.35*P33,0)</x:f>
        <x:v>48</x:v>
      </x:c>
      <x:c r="I33" s="28" t="n">
        <x:f>ROUND(0.65*O33+0.25*P33+0.1*Q33,0)</x:f>
        <x:v>40</x:v>
      </x:c>
      <x:c r="J33" s="28" t="n">
        <x:f>Q33</x:f>
        <x:v>41</x:v>
      </x:c>
      <x:c r="K33" s="28" t="n">
        <x:f>SUM(E33,G33:J33)</x:f>
        <x:v>230</x:v>
      </x:c>
      <x:c r="L33" s="28" t="n">
        <x:v>55</x:v>
      </x:c>
      <x:c r="M33" s="28" t="n">
        <x:v>47</x:v>
      </x:c>
      <x:c r="N33" s="28" t="n">
        <x:v>52</x:v>
      </x:c>
      <x:c r="O33" s="28" t="n">
        <x:v>40</x:v>
      </x:c>
      <x:c r="P33" s="28" t="n">
        <x:v>40</x:v>
      </x:c>
      <x:c r="Q33" s="28" t="n">
        <x:v>41</x:v>
      </x:c>
      <x:c r="R33" s="30" t="str">
        <x:v>Strong HP/DEF; future PATK lean</x:v>
      </x:c>
    </x:row>
    <x:row r="34">
      <x:c r="A34" s="28" t="n">
        <x:v>30</x:v>
      </x:c>
      <x:c r="B34" s="30" t="str">
        <x:v>Nidorina</x:v>
      </x:c>
      <x:c r="C34" s="30" t="str">
        <x:v>Poison</x:v>
      </x:c>
      <x:c r="D34" s="28" t="str">
        <x:f>IF(M34&gt;=O34*1.15,"Physical",IF(O34&gt;=M34*1.15,"Magic","Hybrid"))</x:f>
        <x:v>Hybrid</x:v>
      </x:c>
      <x:c r="E34" s="28" t="n">
        <x:f>L34</x:f>
        <x:v>70</x:v>
      </x:c>
      <x:c r="F34" s="28" t="n">
        <x:f>ROUND(MAX(20,0.45*O34+0.15*P34+0.05*Q34),0)</x:f>
        <x:v>36</x:v>
      </x:c>
      <x:c r="G34" s="28" t="n">
        <x:f>ROUND(0.8*M34+0.2*O34,0)</x:f>
        <x:v>61</x:v>
      </x:c>
      <x:c r="H34" s="28" t="n">
        <x:f>ROUND(0.65*N34+0.35*P34,0)</x:f>
        <x:v>63</x:v>
      </x:c>
      <x:c r="I34" s="28" t="n">
        <x:f>ROUND(0.65*O34+0.25*P34+0.1*Q34,0)</x:f>
        <x:v>55</x:v>
      </x:c>
      <x:c r="J34" s="28" t="n">
        <x:f>Q34</x:f>
        <x:v>56</x:v>
      </x:c>
      <x:c r="K34" s="28" t="n">
        <x:f>SUM(E34,G34:J34)</x:f>
        <x:v>305</x:v>
      </x:c>
      <x:c r="L34" s="28" t="n">
        <x:v>70</x:v>
      </x:c>
      <x:c r="M34" s="28" t="n">
        <x:v>62</x:v>
      </x:c>
      <x:c r="N34" s="28" t="n">
        <x:v>67</x:v>
      </x:c>
      <x:c r="O34" s="28" t="n">
        <x:v>55</x:v>
      </x:c>
      <x:c r="P34" s="28" t="n">
        <x:v>55</x:v>
      </x:c>
      <x:c r="Q34" s="28" t="n">
        <x:v>56</x:v>
      </x:c>
      <x:c r="R34" s="30" t="str">
        <x:v>Strong HP/DEF</x:v>
      </x:c>
    </x:row>
    <x:row r="35">
      <x:c r="A35" s="28" t="n">
        <x:v>31</x:v>
      </x:c>
      <x:c r="B35" s="30" t="str">
        <x:v>Nidoqueen</x:v>
      </x:c>
      <x:c r="C35" s="30" t="str">
        <x:v>Poison / Ground</x:v>
      </x:c>
      <x:c r="D35" s="28" t="str">
        <x:f>IF(M35&gt;=O35*1.15,"Physical",IF(O35&gt;=M35*1.15,"Magic","Hybrid"))</x:f>
        <x:v>Physical</x:v>
      </x:c>
      <x:c r="E35" s="28" t="n">
        <x:f>L35</x:f>
        <x:v>90</x:v>
      </x:c>
      <x:c r="F35" s="28" t="n">
        <x:f>ROUND(MAX(20,0.45*O35+0.15*P35+0.05*Q35),0)</x:f>
        <x:v>50</x:v>
      </x:c>
      <x:c r="G35" s="28" t="n">
        <x:f>ROUND(0.8*M35+0.2*O35,0)</x:f>
        <x:v>89</x:v>
      </x:c>
      <x:c r="H35" s="28" t="n">
        <x:f>ROUND(0.65*N35+0.35*P35,0)</x:f>
        <x:v>86</x:v>
      </x:c>
      <x:c r="I35" s="28" t="n">
        <x:f>ROUND(0.65*O35+0.25*P35+0.1*Q35,0)</x:f>
        <x:v>78</x:v>
      </x:c>
      <x:c r="J35" s="28" t="n">
        <x:f>Q35</x:f>
        <x:v>76</x:v>
      </x:c>
      <x:c r="K35" s="28" t="n">
        <x:f>SUM(E35,G35:J35)</x:f>
        <x:v>419</x:v>
      </x:c>
      <x:c r="L35" s="28" t="n">
        <x:v>90</x:v>
      </x:c>
      <x:c r="M35" s="28" t="n">
        <x:v>92</x:v>
      </x:c>
      <x:c r="N35" s="28" t="n">
        <x:v>87</x:v>
      </x:c>
      <x:c r="O35" s="28" t="n">
        <x:v>75</x:v>
      </x:c>
      <x:c r="P35" s="28" t="n">
        <x:v>85</x:v>
      </x:c>
      <x:c r="Q35" s="28" t="n">
        <x:v>76</x:v>
      </x:c>
      <x:c r="R35" s="30" t="str">
        <x:v>Strong HP/STR; future PATK lean</x:v>
      </x:c>
    </x:row>
    <x:row r="36">
      <x:c r="A36" s="28" t="n">
        <x:v>32</x:v>
      </x:c>
      <x:c r="B36" s="30" t="str">
        <x:v>Nidoran M</x:v>
      </x:c>
      <x:c r="C36" s="30" t="str">
        <x:v>Poison</x:v>
      </x:c>
      <x:c r="D36" s="28" t="str">
        <x:f>IF(M36&gt;=O36*1.15,"Physical",IF(O36&gt;=M36*1.15,"Magic","Hybrid"))</x:f>
        <x:v>Physical</x:v>
      </x:c>
      <x:c r="E36" s="28" t="n">
        <x:f>L36</x:f>
        <x:v>46</x:v>
      </x:c>
      <x:c r="F36" s="28" t="n">
        <x:f>ROUND(MAX(20,0.45*O36+0.15*P36+0.05*Q36),0)</x:f>
        <x:v>27</x:v>
      </x:c>
      <x:c r="G36" s="28" t="n">
        <x:f>ROUND(0.8*M36+0.2*O36,0)</x:f>
        <x:v>54</x:v>
      </x:c>
      <x:c r="H36" s="28" t="n">
        <x:f>ROUND(0.65*N36+0.35*P36,0)</x:f>
        <x:v>40</x:v>
      </x:c>
      <x:c r="I36" s="28" t="n">
        <x:f>ROUND(0.65*O36+0.25*P36+0.1*Q36,0)</x:f>
        <x:v>41</x:v>
      </x:c>
      <x:c r="J36" s="28" t="n">
        <x:f>Q36</x:f>
        <x:v>50</x:v>
      </x:c>
      <x:c r="K36" s="28" t="n">
        <x:f>SUM(E36,G36:J36)</x:f>
        <x:v>231</x:v>
      </x:c>
      <x:c r="L36" s="28" t="n">
        <x:v>46</x:v>
      </x:c>
      <x:c r="M36" s="28" t="n">
        <x:v>57</x:v>
      </x:c>
      <x:c r="N36" s="28" t="n">
        <x:v>40</x:v>
      </x:c>
      <x:c r="O36" s="28" t="n">
        <x:v>40</x:v>
      </x:c>
      <x:c r="P36" s="28" t="n">
        <x:v>40</x:v>
      </x:c>
      <x:c r="Q36" s="28" t="n">
        <x:v>50</x:v>
      </x:c>
      <x:c r="R36" s="30" t="str">
        <x:v>Strong STR/SPD; future PATK lean</x:v>
      </x:c>
    </x:row>
    <x:row r="37">
      <x:c r="A37" s="28" t="n">
        <x:v>33</x:v>
      </x:c>
      <x:c r="B37" s="30" t="str">
        <x:v>Nidorino</x:v>
      </x:c>
      <x:c r="C37" s="30" t="str">
        <x:v>Poison</x:v>
      </x:c>
      <x:c r="D37" s="28" t="str">
        <x:f>IF(M37&gt;=O37*1.15,"Physical",IF(O37&gt;=M37*1.15,"Magic","Hybrid"))</x:f>
        <x:v>Physical</x:v>
      </x:c>
      <x:c r="E37" s="28" t="n">
        <x:f>L37</x:f>
        <x:v>61</x:v>
      </x:c>
      <x:c r="F37" s="28" t="n">
        <x:f>ROUND(MAX(20,0.45*O37+0.15*P37+0.05*Q37),0)</x:f>
        <x:v>36</x:v>
      </x:c>
      <x:c r="G37" s="28" t="n">
        <x:f>ROUND(0.8*M37+0.2*O37,0)</x:f>
        <x:v>69</x:v>
      </x:c>
      <x:c r="H37" s="28" t="n">
        <x:f>ROUND(0.65*N37+0.35*P37,0)</x:f>
        <x:v>56</x:v>
      </x:c>
      <x:c r="I37" s="28" t="n">
        <x:f>ROUND(0.65*O37+0.25*P37+0.1*Q37,0)</x:f>
        <x:v>56</x:v>
      </x:c>
      <x:c r="J37" s="28" t="n">
        <x:f>Q37</x:f>
        <x:v>65</x:v>
      </x:c>
      <x:c r="K37" s="28" t="n">
        <x:f>SUM(E37,G37:J37)</x:f>
        <x:v>307</x:v>
      </x:c>
      <x:c r="L37" s="28" t="n">
        <x:v>61</x:v>
      </x:c>
      <x:c r="M37" s="28" t="n">
        <x:v>72</x:v>
      </x:c>
      <x:c r="N37" s="28" t="n">
        <x:v>57</x:v>
      </x:c>
      <x:c r="O37" s="28" t="n">
        <x:v>55</x:v>
      </x:c>
      <x:c r="P37" s="28" t="n">
        <x:v>55</x:v>
      </x:c>
      <x:c r="Q37" s="28" t="n">
        <x:v>65</x:v>
      </x:c>
      <x:c r="R37" s="30" t="str">
        <x:v>Strong STR/SPD; future PATK lean</x:v>
      </x:c>
    </x:row>
    <x:row r="38">
      <x:c r="A38" s="28" t="n">
        <x:v>34</x:v>
      </x:c>
      <x:c r="B38" s="30" t="str">
        <x:v>Nidoking</x:v>
      </x:c>
      <x:c r="C38" s="30" t="str">
        <x:v>Poison / Ground</x:v>
      </x:c>
      <x:c r="D38" s="28" t="str">
        <x:f>IF(M38&gt;=O38*1.15,"Physical",IF(O38&gt;=M38*1.15,"Magic","Hybrid"))</x:f>
        <x:v>Physical</x:v>
      </x:c>
      <x:c r="E38" s="28" t="n">
        <x:f>L38</x:f>
        <x:v>81</x:v>
      </x:c>
      <x:c r="F38" s="28" t="n">
        <x:f>ROUND(MAX(20,0.45*O38+0.15*P38+0.05*Q38),0)</x:f>
        <x:v>54</x:v>
      </x:c>
      <x:c r="G38" s="28" t="n">
        <x:f>ROUND(0.8*M38+0.2*O38,0)</x:f>
        <x:v>99</x:v>
      </x:c>
      <x:c r="H38" s="28" t="n">
        <x:f>ROUND(0.65*N38+0.35*P38,0)</x:f>
        <x:v>76</x:v>
      </x:c>
      <x:c r="I38" s="28" t="n">
        <x:f>ROUND(0.65*O38+0.25*P38+0.1*Q38,0)</x:f>
        <x:v>83</x:v>
      </x:c>
      <x:c r="J38" s="28" t="n">
        <x:f>Q38</x:f>
        <x:v>85</x:v>
      </x:c>
      <x:c r="K38" s="28" t="n">
        <x:f>SUM(E38,G38:J38)</x:f>
        <x:v>424</x:v>
      </x:c>
      <x:c r="L38" s="28" t="n">
        <x:v>81</x:v>
      </x:c>
      <x:c r="M38" s="28" t="n">
        <x:v>102</x:v>
      </x:c>
      <x:c r="N38" s="28" t="n">
        <x:v>77</x:v>
      </x:c>
      <x:c r="O38" s="28" t="n">
        <x:v>85</x:v>
      </x:c>
      <x:c r="P38" s="28" t="n">
        <x:v>75</x:v>
      </x:c>
      <x:c r="Q38" s="28" t="n">
        <x:v>85</x:v>
      </x:c>
      <x:c r="R38" s="30" t="str">
        <x:v>Strong STR/SPD; future PATK lean</x:v>
      </x:c>
    </x:row>
    <x:row r="39">
      <x:c r="A39" s="28" t="n">
        <x:v>35</x:v>
      </x:c>
      <x:c r="B39" s="30" t="str">
        <x:v>Clefairy</x:v>
      </x:c>
      <x:c r="C39" s="30" t="str">
        <x:v>Fairy</x:v>
      </x:c>
      <x:c r="D39" s="28" t="str">
        <x:f>IF(M39&gt;=O39*1.15,"Physical",IF(O39&gt;=M39*1.15,"Magic","Hybrid"))</x:f>
        <x:v>Magic</x:v>
      </x:c>
      <x:c r="E39" s="28" t="n">
        <x:f>L39</x:f>
        <x:v>70</x:v>
      </x:c>
      <x:c r="F39" s="28" t="n">
        <x:f>ROUND(MAX(20,0.45*O39+0.15*P39+0.05*Q39),0)</x:f>
        <x:v>39</x:v>
      </x:c>
      <x:c r="G39" s="28" t="n">
        <x:f>ROUND(0.8*M39+0.2*O39,0)</x:f>
        <x:v>48</x:v>
      </x:c>
      <x:c r="H39" s="28" t="n">
        <x:f>ROUND(0.65*N39+0.35*P39,0)</x:f>
        <x:v>54</x:v>
      </x:c>
      <x:c r="I39" s="28" t="n">
        <x:f>ROUND(0.65*O39+0.25*P39+0.1*Q39,0)</x:f>
        <x:v>59</x:v>
      </x:c>
      <x:c r="J39" s="28" t="n">
        <x:f>Q39</x:f>
        <x:v>35</x:v>
      </x:c>
      <x:c r="K39" s="28" t="n">
        <x:f>SUM(E39,G39:J39)</x:f>
        <x:v>266</x:v>
      </x:c>
      <x:c r="L39" s="28" t="n">
        <x:v>70</x:v>
      </x:c>
      <x:c r="M39" s="28" t="n">
        <x:v>45</x:v>
      </x:c>
      <x:c r="N39" s="28" t="n">
        <x:v>48</x:v>
      </x:c>
      <x:c r="O39" s="28" t="n">
        <x:v>60</x:v>
      </x:c>
      <x:c r="P39" s="28" t="n">
        <x:v>65</x:v>
      </x:c>
      <x:c r="Q39" s="28" t="n">
        <x:v>35</x:v>
      </x:c>
      <x:c r="R39" s="30" t="str">
        <x:v>Strong HP/INT; future MATK lean</x:v>
      </x:c>
    </x:row>
    <x:row r="40">
      <x:c r="A40" s="28" t="n">
        <x:v>36</x:v>
      </x:c>
      <x:c r="B40" s="30" t="str">
        <x:v>Clefable</x:v>
      </x:c>
      <x:c r="C40" s="30" t="str">
        <x:v>Fairy</x:v>
      </x:c>
      <x:c r="D40" s="28" t="str">
        <x:f>IF(M40&gt;=O40*1.15,"Physical",IF(O40&gt;=M40*1.15,"Magic","Hybrid"))</x:f>
        <x:v>Magic</x:v>
      </x:c>
      <x:c r="E40" s="28" t="n">
        <x:f>L40</x:f>
        <x:v>95</x:v>
      </x:c>
      <x:c r="F40" s="28" t="n">
        <x:f>ROUND(MAX(20,0.45*O40+0.15*P40+0.05*Q40),0)</x:f>
        <x:v>59</x:v>
      </x:c>
      <x:c r="G40" s="28" t="n">
        <x:f>ROUND(0.8*M40+0.2*O40,0)</x:f>
        <x:v>75</x:v>
      </x:c>
      <x:c r="H40" s="28" t="n">
        <x:f>ROUND(0.65*N40+0.35*P40,0)</x:f>
        <x:v>79</x:v>
      </x:c>
      <x:c r="I40" s="28" t="n">
        <x:f>ROUND(0.65*O40+0.25*P40+0.1*Q40,0)</x:f>
        <x:v>90</x:v>
      </x:c>
      <x:c r="J40" s="28" t="n">
        <x:f>Q40</x:f>
        <x:v>60</x:v>
      </x:c>
      <x:c r="K40" s="28" t="n">
        <x:f>SUM(E40,G40:J40)</x:f>
        <x:v>399</x:v>
      </x:c>
      <x:c r="L40" s="28" t="n">
        <x:v>95</x:v>
      </x:c>
      <x:c r="M40" s="28" t="n">
        <x:v>70</x:v>
      </x:c>
      <x:c r="N40" s="28" t="n">
        <x:v>73</x:v>
      </x:c>
      <x:c r="O40" s="28" t="n">
        <x:v>95</x:v>
      </x:c>
      <x:c r="P40" s="28" t="n">
        <x:v>90</x:v>
      </x:c>
      <x:c r="Q40" s="28" t="n">
        <x:v>60</x:v>
      </x:c>
      <x:c r="R40" s="30" t="str">
        <x:v>Strong HP/INT; High MP; future MATK lean</x:v>
      </x:c>
    </x:row>
    <x:row r="41">
      <x:c r="A41" s="28" t="n">
        <x:v>37</x:v>
      </x:c>
      <x:c r="B41" s="30" t="str">
        <x:v>Vulpix</x:v>
      </x:c>
      <x:c r="C41" s="30" t="str">
        <x:v>Fire</x:v>
      </x:c>
      <x:c r="D41" s="28" t="str">
        <x:f>IF(M41&gt;=O41*1.15,"Physical",IF(O41&gt;=M41*1.15,"Magic","Hybrid"))</x:f>
        <x:v>Magic</x:v>
      </x:c>
      <x:c r="E41" s="28" t="n">
        <x:f>L41</x:f>
        <x:v>38</x:v>
      </x:c>
      <x:c r="F41" s="28" t="n">
        <x:f>ROUND(MAX(20,0.45*O41+0.15*P41+0.05*Q41),0)</x:f>
        <x:v>36</x:v>
      </x:c>
      <x:c r="G41" s="28" t="n">
        <x:f>ROUND(0.8*M41+0.2*O41,0)</x:f>
        <x:v>43</x:v>
      </x:c>
      <x:c r="H41" s="28" t="n">
        <x:f>ROUND(0.65*N41+0.35*P41,0)</x:f>
        <x:v>49</x:v>
      </x:c>
      <x:c r="I41" s="28" t="n">
        <x:f>ROUND(0.65*O41+0.25*P41+0.1*Q41,0)</x:f>
        <x:v>55</x:v>
      </x:c>
      <x:c r="J41" s="28" t="n">
        <x:f>Q41</x:f>
        <x:v>65</x:v>
      </x:c>
      <x:c r="K41" s="28" t="n">
        <x:f>SUM(E41,G41:J41)</x:f>
        <x:v>250</x:v>
      </x:c>
      <x:c r="L41" s="28" t="n">
        <x:v>38</x:v>
      </x:c>
      <x:c r="M41" s="28" t="n">
        <x:v>41</x:v>
      </x:c>
      <x:c r="N41" s="28" t="n">
        <x:v>40</x:v>
      </x:c>
      <x:c r="O41" s="28" t="n">
        <x:v>50</x:v>
      </x:c>
      <x:c r="P41" s="28" t="n">
        <x:v>65</x:v>
      </x:c>
      <x:c r="Q41" s="28" t="n">
        <x:v>65</x:v>
      </x:c>
      <x:c r="R41" s="30" t="str">
        <x:v>Strong SPD/INT; future MATK lean</x:v>
      </x:c>
    </x:row>
    <x:row r="42">
      <x:c r="A42" s="28" t="n">
        <x:v>38</x:v>
      </x:c>
      <x:c r="B42" s="30" t="str">
        <x:v>Ninetales</x:v>
      </x:c>
      <x:c r="C42" s="30" t="str">
        <x:v>Fire</x:v>
      </x:c>
      <x:c r="D42" s="28" t="str">
        <x:f>IF(M42&gt;=O42*1.15,"Physical",IF(O42&gt;=M42*1.15,"Magic","Hybrid"))</x:f>
        <x:v>Hybrid</x:v>
      </x:c>
      <x:c r="E42" s="28" t="n">
        <x:f>L42</x:f>
        <x:v>73</x:v>
      </x:c>
      <x:c r="F42" s="28" t="n">
        <x:f>ROUND(MAX(20,0.45*O42+0.15*P42+0.05*Q42),0)</x:f>
        <x:v>56</x:v>
      </x:c>
      <x:c r="G42" s="28" t="n">
        <x:f>ROUND(0.8*M42+0.2*O42,0)</x:f>
        <x:v>77</x:v>
      </x:c>
      <x:c r="H42" s="28" t="n">
        <x:f>ROUND(0.65*N42+0.35*P42,0)</x:f>
        <x:v>84</x:v>
      </x:c>
      <x:c r="I42" s="28" t="n">
        <x:f>ROUND(0.65*O42+0.25*P42+0.1*Q42,0)</x:f>
        <x:v>88</x:v>
      </x:c>
      <x:c r="J42" s="28" t="n">
        <x:f>Q42</x:f>
        <x:v>100</x:v>
      </x:c>
      <x:c r="K42" s="28" t="n">
        <x:f>SUM(E42,G42:J42)</x:f>
        <x:v>422</x:v>
      </x:c>
      <x:c r="L42" s="28" t="n">
        <x:v>73</x:v>
      </x:c>
      <x:c r="M42" s="28" t="n">
        <x:v>76</x:v>
      </x:c>
      <x:c r="N42" s="28" t="n">
        <x:v>75</x:v>
      </x:c>
      <x:c r="O42" s="28" t="n">
        <x:v>81</x:v>
      </x:c>
      <x:c r="P42" s="28" t="n">
        <x:v>100</x:v>
      </x:c>
      <x:c r="Q42" s="28" t="n">
        <x:v>100</x:v>
      </x:c>
      <x:c r="R42" s="30" t="str">
        <x:v>Strong SPD/INT; High MP</x:v>
      </x:c>
    </x:row>
    <x:row r="43">
      <x:c r="A43" s="28" t="n">
        <x:v>39</x:v>
      </x:c>
      <x:c r="B43" s="30" t="str">
        <x:v>Jigglypuff</x:v>
      </x:c>
      <x:c r="C43" s="30" t="str">
        <x:v>Normal / Fairy</x:v>
      </x:c>
      <x:c r="D43" s="28" t="str">
        <x:f>IF(M43&gt;=O43*1.15,"Physical",IF(O43&gt;=M43*1.15,"Magic","Hybrid"))</x:f>
        <x:v>Hybrid</x:v>
      </x:c>
      <x:c r="E43" s="28" t="n">
        <x:f>L43</x:f>
        <x:v>115</x:v>
      </x:c>
      <x:c r="F43" s="28" t="n">
        <x:f>ROUND(MAX(20,0.45*O43+0.15*P43+0.05*Q43),0)</x:f>
        <x:v>25</x:v>
      </x:c>
      <x:c r="G43" s="28" t="n">
        <x:f>ROUND(0.8*M43+0.2*O43,0)</x:f>
        <x:v>45</x:v>
      </x:c>
      <x:c r="H43" s="28" t="n">
        <x:f>ROUND(0.65*N43+0.35*P43,0)</x:f>
        <x:v>22</x:v>
      </x:c>
      <x:c r="I43" s="28" t="n">
        <x:f>ROUND(0.65*O43+0.25*P43+0.1*Q43,0)</x:f>
        <x:v>38</x:v>
      </x:c>
      <x:c r="J43" s="28" t="n">
        <x:f>Q43</x:f>
        <x:v>20</x:v>
      </x:c>
      <x:c r="K43" s="28" t="n">
        <x:f>SUM(E43,G43:J43)</x:f>
        <x:v>240</x:v>
      </x:c>
      <x:c r="L43" s="28" t="n">
        <x:v>115</x:v>
      </x:c>
      <x:c r="M43" s="28" t="n">
        <x:v>45</x:v>
      </x:c>
      <x:c r="N43" s="28" t="n">
        <x:v>20</x:v>
      </x:c>
      <x:c r="O43" s="28" t="n">
        <x:v>45</x:v>
      </x:c>
      <x:c r="P43" s="28" t="n">
        <x:v>25</x:v>
      </x:c>
      <x:c r="Q43" s="28" t="n">
        <x:v>20</x:v>
      </x:c>
      <x:c r="R43" s="30" t="str">
        <x:v>Strong HP/STR; Low MP</x:v>
      </x:c>
    </x:row>
    <x:row r="44">
      <x:c r="A44" s="28" t="n">
        <x:v>40</x:v>
      </x:c>
      <x:c r="B44" s="30" t="str">
        <x:v>Wigglytuff</x:v>
      </x:c>
      <x:c r="C44" s="30" t="str">
        <x:v>Normal / Fairy</x:v>
      </x:c>
      <x:c r="D44" s="28" t="str">
        <x:f>IF(M44&gt;=O44*1.15,"Physical",IF(O44&gt;=M44*1.15,"Magic","Hybrid"))</x:f>
        <x:v>Magic</x:v>
      </x:c>
      <x:c r="E44" s="28" t="n">
        <x:f>L44</x:f>
        <x:v>140</x:v>
      </x:c>
      <x:c r="F44" s="28" t="n">
        <x:f>ROUND(MAX(20,0.45*O44+0.15*P44+0.05*Q44),0)</x:f>
        <x:v>48</x:v>
      </x:c>
      <x:c r="G44" s="28" t="n">
        <x:f>ROUND(0.8*M44+0.2*O44,0)</x:f>
        <x:v>73</x:v>
      </x:c>
      <x:c r="H44" s="28" t="n">
        <x:f>ROUND(0.65*N44+0.35*P44,0)</x:f>
        <x:v>47</x:v>
      </x:c>
      <x:c r="I44" s="28" t="n">
        <x:f>ROUND(0.65*O44+0.25*P44+0.1*Q44,0)</x:f>
        <x:v>72</x:v>
      </x:c>
      <x:c r="J44" s="28" t="n">
        <x:f>Q44</x:f>
        <x:v>45</x:v>
      </x:c>
      <x:c r="K44" s="28" t="n">
        <x:f>SUM(E44,G44:J44)</x:f>
        <x:v>377</x:v>
      </x:c>
      <x:c r="L44" s="28" t="n">
        <x:v>140</x:v>
      </x:c>
      <x:c r="M44" s="28" t="n">
        <x:v>70</x:v>
      </x:c>
      <x:c r="N44" s="28" t="n">
        <x:v>45</x:v>
      </x:c>
      <x:c r="O44" s="28" t="n">
        <x:v>85</x:v>
      </x:c>
      <x:c r="P44" s="28" t="n">
        <x:v>50</x:v>
      </x:c>
      <x:c r="Q44" s="28" t="n">
        <x:v>45</x:v>
      </x:c>
      <x:c r="R44" s="30" t="str">
        <x:v>Strong HP/STR; future MATK lean</x:v>
      </x:c>
    </x:row>
    <x:row r="45">
      <x:c r="A45" s="28" t="n">
        <x:v>41</x:v>
      </x:c>
      <x:c r="B45" s="30" t="str">
        <x:v>Zubat</x:v>
      </x:c>
      <x:c r="C45" s="30" t="str">
        <x:v>Poison / Flying</x:v>
      </x:c>
      <x:c r="D45" s="28" t="str">
        <x:f>IF(M45&gt;=O45*1.15,"Physical",IF(O45&gt;=M45*1.15,"Magic","Hybrid"))</x:f>
        <x:v>Physical</x:v>
      </x:c>
      <x:c r="E45" s="28" t="n">
        <x:f>L45</x:f>
        <x:v>40</x:v>
      </x:c>
      <x:c r="F45" s="28" t="n">
        <x:f>ROUND(MAX(20,0.45*O45+0.15*P45+0.05*Q45),0)</x:f>
        <x:v>22</x:v>
      </x:c>
      <x:c r="G45" s="28" t="n">
        <x:f>ROUND(0.8*M45+0.2*O45,0)</x:f>
        <x:v>42</x:v>
      </x:c>
      <x:c r="H45" s="28" t="n">
        <x:f>ROUND(0.65*N45+0.35*P45,0)</x:f>
        <x:v>37</x:v>
      </x:c>
      <x:c r="I45" s="28" t="n">
        <x:f>ROUND(0.65*O45+0.25*P45+0.1*Q45,0)</x:f>
        <x:v>35</x:v>
      </x:c>
      <x:c r="J45" s="28" t="n">
        <x:f>Q45</x:f>
        <x:v>55</x:v>
      </x:c>
      <x:c r="K45" s="28" t="n">
        <x:f>SUM(E45,G45:J45)</x:f>
        <x:v>209</x:v>
      </x:c>
      <x:c r="L45" s="28" t="n">
        <x:v>40</x:v>
      </x:c>
      <x:c r="M45" s="28" t="n">
        <x:v>45</x:v>
      </x:c>
      <x:c r="N45" s="28" t="n">
        <x:v>35</x:v>
      </x:c>
      <x:c r="O45" s="28" t="n">
        <x:v>30</x:v>
      </x:c>
      <x:c r="P45" s="28" t="n">
        <x:v>40</x:v>
      </x:c>
      <x:c r="Q45" s="28" t="n">
        <x:v>55</x:v>
      </x:c>
      <x:c r="R45" s="30" t="str">
        <x:v>Strong SPD/STR; Low MP; future PATK lean</x:v>
      </x:c>
    </x:row>
    <x:row r="46">
      <x:c r="A46" s="28" t="n">
        <x:v>42</x:v>
      </x:c>
      <x:c r="B46" s="30" t="str">
        <x:v>Golbat</x:v>
      </x:c>
      <x:c r="C46" s="30" t="str">
        <x:v>Poison / Flying</x:v>
      </x:c>
      <x:c r="D46" s="28" t="str">
        <x:f>IF(M46&gt;=O46*1.15,"Physical",IF(O46&gt;=M46*1.15,"Magic","Hybrid"))</x:f>
        <x:v>Physical</x:v>
      </x:c>
      <x:c r="E46" s="28" t="n">
        <x:f>L46</x:f>
        <x:v>75</x:v>
      </x:c>
      <x:c r="F46" s="28" t="n">
        <x:f>ROUND(MAX(20,0.45*O46+0.15*P46+0.05*Q46),0)</x:f>
        <x:v>45</x:v>
      </x:c>
      <x:c r="G46" s="28" t="n">
        <x:f>ROUND(0.8*M46+0.2*O46,0)</x:f>
        <x:v>77</x:v>
      </x:c>
      <x:c r="H46" s="28" t="n">
        <x:f>ROUND(0.65*N46+0.35*P46,0)</x:f>
        <x:v>72</x:v>
      </x:c>
      <x:c r="I46" s="28" t="n">
        <x:f>ROUND(0.65*O46+0.25*P46+0.1*Q46,0)</x:f>
        <x:v>70</x:v>
      </x:c>
      <x:c r="J46" s="28" t="n">
        <x:f>Q46</x:f>
        <x:v>90</x:v>
      </x:c>
      <x:c r="K46" s="28" t="n">
        <x:f>SUM(E46,G46:J46)</x:f>
        <x:v>384</x:v>
      </x:c>
      <x:c r="L46" s="28" t="n">
        <x:v>75</x:v>
      </x:c>
      <x:c r="M46" s="28" t="n">
        <x:v>80</x:v>
      </x:c>
      <x:c r="N46" s="28" t="n">
        <x:v>70</x:v>
      </x:c>
      <x:c r="O46" s="28" t="n">
        <x:v>65</x:v>
      </x:c>
      <x:c r="P46" s="28" t="n">
        <x:v>75</x:v>
      </x:c>
      <x:c r="Q46" s="28" t="n">
        <x:v>90</x:v>
      </x:c>
      <x:c r="R46" s="30" t="str">
        <x:v>Strong SPD/STR; future PATK lean</x:v>
      </x:c>
    </x:row>
    <x:row r="47">
      <x:c r="A47" s="28" t="n">
        <x:v>43</x:v>
      </x:c>
      <x:c r="B47" s="30" t="str">
        <x:v>Oddish</x:v>
      </x:c>
      <x:c r="C47" s="30" t="str">
        <x:v>Grass / Poison</x:v>
      </x:c>
      <x:c r="D47" s="28" t="str">
        <x:f>IF(M47&gt;=O47*1.15,"Physical",IF(O47&gt;=M47*1.15,"Magic","Hybrid"))</x:f>
        <x:v>Magic</x:v>
      </x:c>
      <x:c r="E47" s="28" t="n">
        <x:f>L47</x:f>
        <x:v>45</x:v>
      </x:c>
      <x:c r="F47" s="28" t="n">
        <x:f>ROUND(MAX(20,0.45*O47+0.15*P47+0.05*Q47),0)</x:f>
        <x:v>45</x:v>
      </x:c>
      <x:c r="G47" s="28" t="n">
        <x:f>ROUND(0.8*M47+0.2*O47,0)</x:f>
        <x:v>55</x:v>
      </x:c>
      <x:c r="H47" s="28" t="n">
        <x:f>ROUND(0.65*N47+0.35*P47,0)</x:f>
        <x:v>59</x:v>
      </x:c>
      <x:c r="I47" s="28" t="n">
        <x:f>ROUND(0.65*O47+0.25*P47+0.1*Q47,0)</x:f>
        <x:v>68</x:v>
      </x:c>
      <x:c r="J47" s="28" t="n">
        <x:f>Q47</x:f>
        <x:v>30</x:v>
      </x:c>
      <x:c r="K47" s="28" t="n">
        <x:f>SUM(E47,G47:J47)</x:f>
        <x:v>257</x:v>
      </x:c>
      <x:c r="L47" s="28" t="n">
        <x:v>45</x:v>
      </x:c>
      <x:c r="M47" s="28" t="n">
        <x:v>50</x:v>
      </x:c>
      <x:c r="N47" s="28" t="n">
        <x:v>55</x:v>
      </x:c>
      <x:c r="O47" s="28" t="n">
        <x:v>75</x:v>
      </x:c>
      <x:c r="P47" s="28" t="n">
        <x:v>65</x:v>
      </x:c>
      <x:c r="Q47" s="28" t="n">
        <x:v>30</x:v>
      </x:c>
      <x:c r="R47" s="30" t="str">
        <x:v>Strong INT/DEF; future MATK lean</x:v>
      </x:c>
    </x:row>
    <x:row r="48">
      <x:c r="A48" s="28" t="n">
        <x:v>44</x:v>
      </x:c>
      <x:c r="B48" s="30" t="str">
        <x:v>Gloom</x:v>
      </x:c>
      <x:c r="C48" s="30" t="str">
        <x:v>Grass / Poison</x:v>
      </x:c>
      <x:c r="D48" s="28" t="str">
        <x:f>IF(M48&gt;=O48*1.15,"Physical",IF(O48&gt;=M48*1.15,"Magic","Hybrid"))</x:f>
        <x:v>Magic</x:v>
      </x:c>
      <x:c r="E48" s="28" t="n">
        <x:f>L48</x:f>
        <x:v>60</x:v>
      </x:c>
      <x:c r="F48" s="28" t="n">
        <x:f>ROUND(MAX(20,0.45*O48+0.15*P48+0.05*Q48),0)</x:f>
        <x:v>52</x:v>
      </x:c>
      <x:c r="G48" s="28" t="n">
        <x:f>ROUND(0.8*M48+0.2*O48,0)</x:f>
        <x:v>69</x:v>
      </x:c>
      <x:c r="H48" s="28" t="n">
        <x:f>ROUND(0.65*N48+0.35*P48,0)</x:f>
        <x:v>72</x:v>
      </x:c>
      <x:c r="I48" s="28" t="n">
        <x:f>ROUND(0.65*O48+0.25*P48+0.1*Q48,0)</x:f>
        <x:v>78</x:v>
      </x:c>
      <x:c r="J48" s="28" t="n">
        <x:f>Q48</x:f>
        <x:v>40</x:v>
      </x:c>
      <x:c r="K48" s="28" t="n">
        <x:f>SUM(E48,G48:J48)</x:f>
        <x:v>319</x:v>
      </x:c>
      <x:c r="L48" s="28" t="n">
        <x:v>60</x:v>
      </x:c>
      <x:c r="M48" s="28" t="n">
        <x:v>65</x:v>
      </x:c>
      <x:c r="N48" s="28" t="n">
        <x:v>70</x:v>
      </x:c>
      <x:c r="O48" s="28" t="n">
        <x:v>85</x:v>
      </x:c>
      <x:c r="P48" s="28" t="n">
        <x:v>75</x:v>
      </x:c>
      <x:c r="Q48" s="28" t="n">
        <x:v>40</x:v>
      </x:c>
      <x:c r="R48" s="30" t="str">
        <x:v>Strong INT/DEF; future MATK lean</x:v>
      </x:c>
    </x:row>
    <x:row r="49">
      <x:c r="A49" s="28" t="n">
        <x:v>45</x:v>
      </x:c>
      <x:c r="B49" s="30" t="str">
        <x:v>Vileplume</x:v>
      </x:c>
      <x:c r="C49" s="30" t="str">
        <x:v>Grass / Poison</x:v>
      </x:c>
      <x:c r="D49" s="28" t="str">
        <x:f>IF(M49&gt;=O49*1.15,"Physical",IF(O49&gt;=M49*1.15,"Magic","Hybrid"))</x:f>
        <x:v>Magic</x:v>
      </x:c>
      <x:c r="E49" s="28" t="n">
        <x:f>L49</x:f>
        <x:v>75</x:v>
      </x:c>
      <x:c r="F49" s="28" t="n">
        <x:f>ROUND(MAX(20,0.45*O49+0.15*P49+0.05*Q49),0)</x:f>
        <x:v>66</x:v>
      </x:c>
      <x:c r="G49" s="28" t="n">
        <x:f>ROUND(0.8*M49+0.2*O49,0)</x:f>
        <x:v>86</x:v>
      </x:c>
      <x:c r="H49" s="28" t="n">
        <x:f>ROUND(0.65*N49+0.35*P49,0)</x:f>
        <x:v>87</x:v>
      </x:c>
      <x:c r="I49" s="28" t="n">
        <x:f>ROUND(0.65*O49+0.25*P49+0.1*Q49,0)</x:f>
        <x:v>99</x:v>
      </x:c>
      <x:c r="J49" s="28" t="n">
        <x:f>Q49</x:f>
        <x:v>50</x:v>
      </x:c>
      <x:c r="K49" s="28" t="n">
        <x:f>SUM(E49,G49:J49)</x:f>
        <x:v>397</x:v>
      </x:c>
      <x:c r="L49" s="28" t="n">
        <x:v>75</x:v>
      </x:c>
      <x:c r="M49" s="28" t="n">
        <x:v>80</x:v>
      </x:c>
      <x:c r="N49" s="28" t="n">
        <x:v>85</x:v>
      </x:c>
      <x:c r="O49" s="28" t="n">
        <x:v>110</x:v>
      </x:c>
      <x:c r="P49" s="28" t="n">
        <x:v>90</x:v>
      </x:c>
      <x:c r="Q49" s="28" t="n">
        <x:v>50</x:v>
      </x:c>
      <x:c r="R49" s="30" t="str">
        <x:v>Strong INT/DEF; High MP; future MATK lean</x:v>
      </x:c>
    </x:row>
    <x:row r="50">
      <x:c r="A50" s="28" t="n">
        <x:v>46</x:v>
      </x:c>
      <x:c r="B50" s="30" t="str">
        <x:v>Paras</x:v>
      </x:c>
      <x:c r="C50" s="30" t="str">
        <x:v>Bug / Grass</x:v>
      </x:c>
      <x:c r="D50" s="28" t="str">
        <x:f>IF(M50&gt;=O50*1.15,"Physical",IF(O50&gt;=M50*1.15,"Magic","Hybrid"))</x:f>
        <x:v>Physical</x:v>
      </x:c>
      <x:c r="E50" s="28" t="n">
        <x:f>L50</x:f>
        <x:v>35</x:v>
      </x:c>
      <x:c r="F50" s="28" t="n">
        <x:f>ROUND(MAX(20,0.45*O50+0.15*P50+0.05*Q50),0)</x:f>
        <x:v>30</x:v>
      </x:c>
      <x:c r="G50" s="28" t="n">
        <x:f>ROUND(0.8*M50+0.2*O50,0)</x:f>
        <x:v>65</x:v>
      </x:c>
      <x:c r="H50" s="28" t="n">
        <x:f>ROUND(0.65*N50+0.35*P50,0)</x:f>
        <x:v>55</x:v>
      </x:c>
      <x:c r="I50" s="28" t="n">
        <x:f>ROUND(0.65*O50+0.25*P50+0.1*Q50,0)</x:f>
        <x:v>46</x:v>
      </x:c>
      <x:c r="J50" s="28" t="n">
        <x:f>Q50</x:f>
        <x:v>25</x:v>
      </x:c>
      <x:c r="K50" s="28" t="n">
        <x:f>SUM(E50,G50:J50)</x:f>
        <x:v>226</x:v>
      </x:c>
      <x:c r="L50" s="28" t="n">
        <x:v>35</x:v>
      </x:c>
      <x:c r="M50" s="28" t="n">
        <x:v>70</x:v>
      </x:c>
      <x:c r="N50" s="28" t="n">
        <x:v>55</x:v>
      </x:c>
      <x:c r="O50" s="28" t="n">
        <x:v>45</x:v>
      </x:c>
      <x:c r="P50" s="28" t="n">
        <x:v>55</x:v>
      </x:c>
      <x:c r="Q50" s="28" t="n">
        <x:v>25</x:v>
      </x:c>
      <x:c r="R50" s="30" t="str">
        <x:v>Strong STR/DEF; future PATK lean</x:v>
      </x:c>
    </x:row>
    <x:row r="51">
      <x:c r="A51" s="28" t="n">
        <x:v>47</x:v>
      </x:c>
      <x:c r="B51" s="30" t="str">
        <x:v>Parasect</x:v>
      </x:c>
      <x:c r="C51" s="30" t="str">
        <x:v>Bug / Grass</x:v>
      </x:c>
      <x:c r="D51" s="28" t="str">
        <x:f>IF(M51&gt;=O51*1.15,"Physical",IF(O51&gt;=M51*1.15,"Magic","Hybrid"))</x:f>
        <x:v>Physical</x:v>
      </x:c>
      <x:c r="E51" s="28" t="n">
        <x:f>L51</x:f>
        <x:v>60</x:v>
      </x:c>
      <x:c r="F51" s="28" t="n">
        <x:f>ROUND(MAX(20,0.45*O51+0.15*P51+0.05*Q51),0)</x:f>
        <x:v>41</x:v>
      </x:c>
      <x:c r="G51" s="28" t="n">
        <x:f>ROUND(0.8*M51+0.2*O51,0)</x:f>
        <x:v>88</x:v>
      </x:c>
      <x:c r="H51" s="28" t="n">
        <x:f>ROUND(0.65*N51+0.35*P51,0)</x:f>
        <x:v>80</x:v>
      </x:c>
      <x:c r="I51" s="28" t="n">
        <x:f>ROUND(0.65*O51+0.25*P51+0.1*Q51,0)</x:f>
        <x:v>62</x:v>
      </x:c>
      <x:c r="J51" s="28" t="n">
        <x:f>Q51</x:f>
        <x:v>30</x:v>
      </x:c>
      <x:c r="K51" s="28" t="n">
        <x:f>SUM(E51,G51:J51)</x:f>
        <x:v>320</x:v>
      </x:c>
      <x:c r="L51" s="28" t="n">
        <x:v>60</x:v>
      </x:c>
      <x:c r="M51" s="28" t="n">
        <x:v>95</x:v>
      </x:c>
      <x:c r="N51" s="28" t="n">
        <x:v>80</x:v>
      </x:c>
      <x:c r="O51" s="28" t="n">
        <x:v>60</x:v>
      </x:c>
      <x:c r="P51" s="28" t="n">
        <x:v>80</x:v>
      </x:c>
      <x:c r="Q51" s="28" t="n">
        <x:v>30</x:v>
      </x:c>
      <x:c r="R51" s="30" t="str">
        <x:v>Strong STR/DEF; future PATK lean</x:v>
      </x:c>
    </x:row>
    <x:row r="52">
      <x:c r="A52" s="28" t="n">
        <x:v>48</x:v>
      </x:c>
      <x:c r="B52" s="30" t="str">
        <x:v>Venonat</x:v>
      </x:c>
      <x:c r="C52" s="30" t="str">
        <x:v>Bug / Poison</x:v>
      </x:c>
      <x:c r="D52" s="28" t="str">
        <x:f>IF(M52&gt;=O52*1.15,"Physical",IF(O52&gt;=M52*1.15,"Magic","Hybrid"))</x:f>
        <x:v>Physical</x:v>
      </x:c>
      <x:c r="E52" s="28" t="n">
        <x:f>L52</x:f>
        <x:v>60</x:v>
      </x:c>
      <x:c r="F52" s="28" t="n">
        <x:f>ROUND(MAX(20,0.45*O52+0.15*P52+0.05*Q52),0)</x:f>
        <x:v>29</x:v>
      </x:c>
      <x:c r="G52" s="28" t="n">
        <x:f>ROUND(0.8*M52+0.2*O52,0)</x:f>
        <x:v>52</x:v>
      </x:c>
      <x:c r="H52" s="28" t="n">
        <x:f>ROUND(0.65*N52+0.35*P52,0)</x:f>
        <x:v>52</x:v>
      </x:c>
      <x:c r="I52" s="28" t="n">
        <x:f>ROUND(0.65*O52+0.25*P52+0.1*Q52,0)</x:f>
        <x:v>44</x:v>
      </x:c>
      <x:c r="J52" s="28" t="n">
        <x:f>Q52</x:f>
        <x:v>45</x:v>
      </x:c>
      <x:c r="K52" s="28" t="n">
        <x:f>SUM(E52,G52:J52)</x:f>
        <x:v>253</x:v>
      </x:c>
      <x:c r="L52" s="28" t="n">
        <x:v>60</x:v>
      </x:c>
      <x:c r="M52" s="28" t="n">
        <x:v>55</x:v>
      </x:c>
      <x:c r="N52" s="28" t="n">
        <x:v>50</x:v>
      </x:c>
      <x:c r="O52" s="28" t="n">
        <x:v>40</x:v>
      </x:c>
      <x:c r="P52" s="28" t="n">
        <x:v>55</x:v>
      </x:c>
      <x:c r="Q52" s="28" t="n">
        <x:v>45</x:v>
      </x:c>
      <x:c r="R52" s="30" t="str">
        <x:v>Strong HP/STR; future PATK lean</x:v>
      </x:c>
    </x:row>
    <x:row r="53">
      <x:c r="A53" s="28" t="n">
        <x:v>49</x:v>
      </x:c>
      <x:c r="B53" s="30" t="str">
        <x:v>Venomoth</x:v>
      </x:c>
      <x:c r="C53" s="30" t="str">
        <x:v>Bug / Poison</x:v>
      </x:c>
      <x:c r="D53" s="28" t="str">
        <x:f>IF(M53&gt;=O53*1.15,"Physical",IF(O53&gt;=M53*1.15,"Magic","Hybrid"))</x:f>
        <x:v>Magic</x:v>
      </x:c>
      <x:c r="E53" s="28" t="n">
        <x:f>L53</x:f>
        <x:v>70</x:v>
      </x:c>
      <x:c r="F53" s="28" t="n">
        <x:f>ROUND(MAX(20,0.45*O53+0.15*P53+0.05*Q53),0)</x:f>
        <x:v>56</x:v>
      </x:c>
      <x:c r="G53" s="28" t="n">
        <x:f>ROUND(0.8*M53+0.2*O53,0)</x:f>
        <x:v>70</x:v>
      </x:c>
      <x:c r="H53" s="28" t="n">
        <x:f>ROUND(0.65*N53+0.35*P53,0)</x:f>
        <x:v>65</x:v>
      </x:c>
      <x:c r="I53" s="28" t="n">
        <x:f>ROUND(0.65*O53+0.25*P53+0.1*Q53,0)</x:f>
        <x:v>86</x:v>
      </x:c>
      <x:c r="J53" s="28" t="n">
        <x:f>Q53</x:f>
        <x:v>90</x:v>
      </x:c>
      <x:c r="K53" s="28" t="n">
        <x:f>SUM(E53,G53:J53)</x:f>
        <x:v>381</x:v>
      </x:c>
      <x:c r="L53" s="28" t="n">
        <x:v>70</x:v>
      </x:c>
      <x:c r="M53" s="28" t="n">
        <x:v>65</x:v>
      </x:c>
      <x:c r="N53" s="28" t="n">
        <x:v>60</x:v>
      </x:c>
      <x:c r="O53" s="28" t="n">
        <x:v>90</x:v>
      </x:c>
      <x:c r="P53" s="28" t="n">
        <x:v>75</x:v>
      </x:c>
      <x:c r="Q53" s="28" t="n">
        <x:v>90</x:v>
      </x:c>
      <x:c r="R53" s="30" t="str">
        <x:v>Strong SPD/INT; future MATK lean</x:v>
      </x:c>
    </x:row>
    <x:row r="54">
      <x:c r="A54" s="28" t="n">
        <x:v>50</x:v>
      </x:c>
      <x:c r="B54" s="30" t="str">
        <x:v>Diglett</x:v>
      </x:c>
      <x:c r="C54" s="30" t="str">
        <x:v>Ground</x:v>
      </x:c>
      <x:c r="D54" s="28" t="str">
        <x:f>IF(M54&gt;=O54*1.15,"Physical",IF(O54&gt;=M54*1.15,"Magic","Hybrid"))</x:f>
        <x:v>Physical</x:v>
      </x:c>
      <x:c r="E54" s="28" t="n">
        <x:f>L54</x:f>
        <x:v>10</x:v>
      </x:c>
      <x:c r="F54" s="28" t="n">
        <x:f>ROUND(MAX(20,0.45*O54+0.15*P54+0.05*Q54),0)</x:f>
        <x:v>27</x:v>
      </x:c>
      <x:c r="G54" s="28" t="n">
        <x:f>ROUND(0.8*M54+0.2*O54,0)</x:f>
        <x:v>51</x:v>
      </x:c>
      <x:c r="H54" s="28" t="n">
        <x:f>ROUND(0.65*N54+0.35*P54,0)</x:f>
        <x:v>32</x:v>
      </x:c>
      <x:c r="I54" s="28" t="n">
        <x:f>ROUND(0.65*O54+0.25*P54+0.1*Q54,0)</x:f>
        <x:v>44</x:v>
      </x:c>
      <x:c r="J54" s="28" t="n">
        <x:f>Q54</x:f>
        <x:v>95</x:v>
      </x:c>
      <x:c r="K54" s="28" t="n">
        <x:f>SUM(E54,G54:J54)</x:f>
        <x:v>232</x:v>
      </x:c>
      <x:c r="L54" s="28" t="n">
        <x:v>10</x:v>
      </x:c>
      <x:c r="M54" s="28" t="n">
        <x:v>55</x:v>
      </x:c>
      <x:c r="N54" s="28" t="n">
        <x:v>25</x:v>
      </x:c>
      <x:c r="O54" s="28" t="n">
        <x:v>35</x:v>
      </x:c>
      <x:c r="P54" s="28" t="n">
        <x:v>45</x:v>
      </x:c>
      <x:c r="Q54" s="28" t="n">
        <x:v>95</x:v>
      </x:c>
      <x:c r="R54" s="30" t="str">
        <x:v>Strong SPD/STR; future PATK lean</x:v>
      </x:c>
    </x:row>
    <x:row r="55">
      <x:c r="A55" s="28" t="n">
        <x:v>51</x:v>
      </x:c>
      <x:c r="B55" s="30" t="str">
        <x:v>Dugtrio</x:v>
      </x:c>
      <x:c r="C55" s="30" t="str">
        <x:v>Ground</x:v>
      </x:c>
      <x:c r="D55" s="28" t="str">
        <x:f>IF(M55&gt;=O55*1.15,"Physical",IF(O55&gt;=M55*1.15,"Magic","Hybrid"))</x:f>
        <x:v>Physical</x:v>
      </x:c>
      <x:c r="E55" s="28" t="n">
        <x:f>L55</x:f>
        <x:v>35</x:v>
      </x:c>
      <x:c r="F55" s="28" t="n">
        <x:f>ROUND(MAX(20,0.45*O55+0.15*P55+0.05*Q55),0)</x:f>
        <x:v>39</x:v>
      </x:c>
      <x:c r="G55" s="28" t="n">
        <x:f>ROUND(0.8*M55+0.2*O55,0)</x:f>
        <x:v>90</x:v>
      </x:c>
      <x:c r="H55" s="28" t="n">
        <x:f>ROUND(0.65*N55+0.35*P55,0)</x:f>
        <x:v>57</x:v>
      </x:c>
      <x:c r="I55" s="28" t="n">
        <x:f>ROUND(0.65*O55+0.25*P55+0.1*Q55,0)</x:f>
        <x:v>62</x:v>
      </x:c>
      <x:c r="J55" s="28" t="n">
        <x:f>Q55</x:f>
        <x:v>120</x:v>
      </x:c>
      <x:c r="K55" s="28" t="n">
        <x:f>SUM(E55,G55:J55)</x:f>
        <x:v>364</x:v>
      </x:c>
      <x:c r="L55" s="28" t="n">
        <x:v>35</x:v>
      </x:c>
      <x:c r="M55" s="28" t="n">
        <x:v>100</x:v>
      </x:c>
      <x:c r="N55" s="28" t="n">
        <x:v>50</x:v>
      </x:c>
      <x:c r="O55" s="28" t="n">
        <x:v>50</x:v>
      </x:c>
      <x:c r="P55" s="28" t="n">
        <x:v>70</x:v>
      </x:c>
      <x:c r="Q55" s="28" t="n">
        <x:v>120</x:v>
      </x:c>
      <x:c r="R55" s="30" t="str">
        <x:v>Strong SPD/STR; future PATK lean</x:v>
      </x:c>
    </x:row>
    <x:row r="56">
      <x:c r="A56" s="28" t="n">
        <x:v>52</x:v>
      </x:c>
      <x:c r="B56" s="30" t="str">
        <x:v>Meowth</x:v>
      </x:c>
      <x:c r="C56" s="30" t="str">
        <x:v>Normal</x:v>
      </x:c>
      <x:c r="D56" s="28" t="str">
        <x:f>IF(M56&gt;=O56*1.15,"Physical",IF(O56&gt;=M56*1.15,"Magic","Hybrid"))</x:f>
        <x:v>Hybrid</x:v>
      </x:c>
      <x:c r="E56" s="28" t="n">
        <x:f>L56</x:f>
        <x:v>40</x:v>
      </x:c>
      <x:c r="F56" s="28" t="n">
        <x:f>ROUND(MAX(20,0.45*O56+0.15*P56+0.05*Q56),0)</x:f>
        <x:v>29</x:v>
      </x:c>
      <x:c r="G56" s="28" t="n">
        <x:f>ROUND(0.8*M56+0.2*O56,0)</x:f>
        <x:v>44</x:v>
      </x:c>
      <x:c r="H56" s="28" t="n">
        <x:f>ROUND(0.65*N56+0.35*P56,0)</x:f>
        <x:v>37</x:v>
      </x:c>
      <x:c r="I56" s="28" t="n">
        <x:f>ROUND(0.65*O56+0.25*P56+0.1*Q56,0)</x:f>
        <x:v>45</x:v>
      </x:c>
      <x:c r="J56" s="28" t="n">
        <x:f>Q56</x:f>
        <x:v>90</x:v>
      </x:c>
      <x:c r="K56" s="28" t="n">
        <x:f>SUM(E56,G56:J56)</x:f>
        <x:v>256</x:v>
      </x:c>
      <x:c r="L56" s="28" t="n">
        <x:v>40</x:v>
      </x:c>
      <x:c r="M56" s="28" t="n">
        <x:v>45</x:v>
      </x:c>
      <x:c r="N56" s="28" t="n">
        <x:v>35</x:v>
      </x:c>
      <x:c r="O56" s="28" t="n">
        <x:v>40</x:v>
      </x:c>
      <x:c r="P56" s="28" t="n">
        <x:v>40</x:v>
      </x:c>
      <x:c r="Q56" s="28" t="n">
        <x:v>90</x:v>
      </x:c>
      <x:c r="R56" s="30" t="str">
        <x:v>Strong SPD/INT</x:v>
      </x:c>
    </x:row>
    <x:row r="57">
      <x:c r="A57" s="28" t="n">
        <x:v>53</x:v>
      </x:c>
      <x:c r="B57" s="30" t="str">
        <x:v>Persian</x:v>
      </x:c>
      <x:c r="C57" s="30" t="str">
        <x:v>Normal</x:v>
      </x:c>
      <x:c r="D57" s="28" t="str">
        <x:f>IF(M57&gt;=O57*1.15,"Physical",IF(O57&gt;=M57*1.15,"Magic","Hybrid"))</x:f>
        <x:v>Hybrid</x:v>
      </x:c>
      <x:c r="E57" s="28" t="n">
        <x:f>L57</x:f>
        <x:v>65</x:v>
      </x:c>
      <x:c r="F57" s="28" t="n">
        <x:f>ROUND(MAX(20,0.45*O57+0.15*P57+0.05*Q57),0)</x:f>
        <x:v>45</x:v>
      </x:c>
      <x:c r="G57" s="28" t="n">
        <x:f>ROUND(0.8*M57+0.2*O57,0)</x:f>
        <x:v>69</x:v>
      </x:c>
      <x:c r="H57" s="28" t="n">
        <x:f>ROUND(0.65*N57+0.35*P57,0)</x:f>
        <x:v>62</x:v>
      </x:c>
      <x:c r="I57" s="28" t="n">
        <x:f>ROUND(0.65*O57+0.25*P57+0.1*Q57,0)</x:f>
        <x:v>70</x:v>
      </x:c>
      <x:c r="J57" s="28" t="n">
        <x:f>Q57</x:f>
        <x:v>115</x:v>
      </x:c>
      <x:c r="K57" s="28" t="n">
        <x:f>SUM(E57,G57:J57)</x:f>
        <x:v>381</x:v>
      </x:c>
      <x:c r="L57" s="28" t="n">
        <x:v>65</x:v>
      </x:c>
      <x:c r="M57" s="28" t="n">
        <x:v>70</x:v>
      </x:c>
      <x:c r="N57" s="28" t="n">
        <x:v>60</x:v>
      </x:c>
      <x:c r="O57" s="28" t="n">
        <x:v>65</x:v>
      </x:c>
      <x:c r="P57" s="28" t="n">
        <x:v>65</x:v>
      </x:c>
      <x:c r="Q57" s="28" t="n">
        <x:v>115</x:v>
      </x:c>
      <x:c r="R57" s="30" t="str">
        <x:v>Strong SPD/INT</x:v>
      </x:c>
    </x:row>
    <x:row r="58">
      <x:c r="A58" s="28" t="n">
        <x:v>54</x:v>
      </x:c>
      <x:c r="B58" s="30" t="str">
        <x:v>Psyduck</x:v>
      </x:c>
      <x:c r="C58" s="30" t="str">
        <x:v>Water</x:v>
      </x:c>
      <x:c r="D58" s="28" t="str">
        <x:f>IF(M58&gt;=O58*1.15,"Physical",IF(O58&gt;=M58*1.15,"Magic","Hybrid"))</x:f>
        <x:v>Magic</x:v>
      </x:c>
      <x:c r="E58" s="28" t="n">
        <x:f>L58</x:f>
        <x:v>50</x:v>
      </x:c>
      <x:c r="F58" s="28" t="n">
        <x:f>ROUND(MAX(20,0.45*O58+0.15*P58+0.05*Q58),0)</x:f>
        <x:v>40</x:v>
      </x:c>
      <x:c r="G58" s="28" t="n">
        <x:f>ROUND(0.8*M58+0.2*O58,0)</x:f>
        <x:v>55</x:v>
      </x:c>
      <x:c r="H58" s="28" t="n">
        <x:f>ROUND(0.65*N58+0.35*P58,0)</x:f>
        <x:v>49</x:v>
      </x:c>
      <x:c r="I58" s="28" t="n">
        <x:f>ROUND(0.65*O58+0.25*P58+0.1*Q58,0)</x:f>
        <x:v>60</x:v>
      </x:c>
      <x:c r="J58" s="28" t="n">
        <x:f>Q58</x:f>
        <x:v>55</x:v>
      </x:c>
      <x:c r="K58" s="28" t="n">
        <x:f>SUM(E58,G58:J58)</x:f>
        <x:v>269</x:v>
      </x:c>
      <x:c r="L58" s="28" t="n">
        <x:v>50</x:v>
      </x:c>
      <x:c r="M58" s="28" t="n">
        <x:v>52</x:v>
      </x:c>
      <x:c r="N58" s="28" t="n">
        <x:v>48</x:v>
      </x:c>
      <x:c r="O58" s="28" t="n">
        <x:v>65</x:v>
      </x:c>
      <x:c r="P58" s="28" t="n">
        <x:v>50</x:v>
      </x:c>
      <x:c r="Q58" s="28" t="n">
        <x:v>55</x:v>
      </x:c>
      <x:c r="R58" s="30" t="str">
        <x:v>Strong INT/STR; future MATK lean</x:v>
      </x:c>
    </x:row>
    <x:row r="59">
      <x:c r="A59" s="28" t="n">
        <x:v>55</x:v>
      </x:c>
      <x:c r="B59" s="30" t="str">
        <x:v>Golduck</x:v>
      </x:c>
      <x:c r="C59" s="30" t="str">
        <x:v>Water</x:v>
      </x:c>
      <x:c r="D59" s="28" t="str">
        <x:f>IF(M59&gt;=O59*1.15,"Physical",IF(O59&gt;=M59*1.15,"Magic","Hybrid"))</x:f>
        <x:v>Magic</x:v>
      </x:c>
      <x:c r="E59" s="28" t="n">
        <x:f>L59</x:f>
        <x:v>80</x:v>
      </x:c>
      <x:c r="F59" s="28" t="n">
        <x:f>ROUND(MAX(20,0.45*O59+0.15*P59+0.05*Q59),0)</x:f>
        <x:v>59</x:v>
      </x:c>
      <x:c r="G59" s="28" t="n">
        <x:f>ROUND(0.8*M59+0.2*O59,0)</x:f>
        <x:v>85</x:v>
      </x:c>
      <x:c r="H59" s="28" t="n">
        <x:f>ROUND(0.65*N59+0.35*P59,0)</x:f>
        <x:v>79</x:v>
      </x:c>
      <x:c r="I59" s="28" t="n">
        <x:f>ROUND(0.65*O59+0.25*P59+0.1*Q59,0)</x:f>
        <x:v>90</x:v>
      </x:c>
      <x:c r="J59" s="28" t="n">
        <x:f>Q59</x:f>
        <x:v>85</x:v>
      </x:c>
      <x:c r="K59" s="28" t="n">
        <x:f>SUM(E59,G59:J59)</x:f>
        <x:v>419</x:v>
      </x:c>
      <x:c r="L59" s="28" t="n">
        <x:v>80</x:v>
      </x:c>
      <x:c r="M59" s="28" t="n">
        <x:v>82</x:v>
      </x:c>
      <x:c r="N59" s="28" t="n">
        <x:v>78</x:v>
      </x:c>
      <x:c r="O59" s="28" t="n">
        <x:v>95</x:v>
      </x:c>
      <x:c r="P59" s="28" t="n">
        <x:v>80</x:v>
      </x:c>
      <x:c r="Q59" s="28" t="n">
        <x:v>85</x:v>
      </x:c>
      <x:c r="R59" s="30" t="str">
        <x:v>Strong INT/STR; High MP; future MATK lean</x:v>
      </x:c>
    </x:row>
    <x:row r="60">
      <x:c r="A60" s="28" t="n">
        <x:v>56</x:v>
      </x:c>
      <x:c r="B60" s="30" t="str">
        <x:v>Mankey</x:v>
      </x:c>
      <x:c r="C60" s="30" t="str">
        <x:v>Fighting</x:v>
      </x:c>
      <x:c r="D60" s="28" t="str">
        <x:f>IF(M60&gt;=O60*1.15,"Physical",IF(O60&gt;=M60*1.15,"Magic","Hybrid"))</x:f>
        <x:v>Physical</x:v>
      </x:c>
      <x:c r="E60" s="28" t="n">
        <x:f>L60</x:f>
        <x:v>40</x:v>
      </x:c>
      <x:c r="F60" s="28" t="n">
        <x:f>ROUND(MAX(20,0.45*O60+0.15*P60+0.05*Q60),0)</x:f>
        <x:v>26</x:v>
      </x:c>
      <x:c r="G60" s="28" t="n">
        <x:f>ROUND(0.8*M60+0.2*O60,0)</x:f>
        <x:v>71</x:v>
      </x:c>
      <x:c r="H60" s="28" t="n">
        <x:f>ROUND(0.65*N60+0.35*P60,0)</x:f>
        <x:v>39</x:v>
      </x:c>
      <x:c r="I60" s="28" t="n">
        <x:f>ROUND(0.65*O60+0.25*P60+0.1*Q60,0)</x:f>
        <x:v>41</x:v>
      </x:c>
      <x:c r="J60" s="28" t="n">
        <x:f>Q60</x:f>
        <x:v>70</x:v>
      </x:c>
      <x:c r="K60" s="28" t="n">
        <x:f>SUM(E60,G60:J60)</x:f>
        <x:v>261</x:v>
      </x:c>
      <x:c r="L60" s="28" t="n">
        <x:v>40</x:v>
      </x:c>
      <x:c r="M60" s="28" t="n">
        <x:v>80</x:v>
      </x:c>
      <x:c r="N60" s="28" t="n">
        <x:v>35</x:v>
      </x:c>
      <x:c r="O60" s="28" t="n">
        <x:v>35</x:v>
      </x:c>
      <x:c r="P60" s="28" t="n">
        <x:v>45</x:v>
      </x:c>
      <x:c r="Q60" s="28" t="n">
        <x:v>70</x:v>
      </x:c>
      <x:c r="R60" s="30" t="str">
        <x:v>Strong STR/SPD; future PATK lean</x:v>
      </x:c>
    </x:row>
    <x:row r="61">
      <x:c r="A61" s="28" t="n">
        <x:v>57</x:v>
      </x:c>
      <x:c r="B61" s="30" t="str">
        <x:v>Primeape</x:v>
      </x:c>
      <x:c r="C61" s="30" t="str">
        <x:v>Fighting</x:v>
      </x:c>
      <x:c r="D61" s="28" t="str">
        <x:f>IF(M61&gt;=O61*1.15,"Physical",IF(O61&gt;=M61*1.15,"Magic","Hybrid"))</x:f>
        <x:v>Physical</x:v>
      </x:c>
      <x:c r="E61" s="28" t="n">
        <x:f>L61</x:f>
        <x:v>65</x:v>
      </x:c>
      <x:c r="F61" s="28" t="n">
        <x:f>ROUND(MAX(20,0.45*O61+0.15*P61+0.05*Q61),0)</x:f>
        <x:v>42</x:v>
      </x:c>
      <x:c r="G61" s="28" t="n">
        <x:f>ROUND(0.8*M61+0.2*O61,0)</x:f>
        <x:v>96</x:v>
      </x:c>
      <x:c r="H61" s="28" t="n">
        <x:f>ROUND(0.65*N61+0.35*P61,0)</x:f>
        <x:v>64</x:v>
      </x:c>
      <x:c r="I61" s="28" t="n">
        <x:f>ROUND(0.65*O61+0.25*P61+0.1*Q61,0)</x:f>
        <x:v>66</x:v>
      </x:c>
      <x:c r="J61" s="28" t="n">
        <x:f>Q61</x:f>
        <x:v>95</x:v>
      </x:c>
      <x:c r="K61" s="28" t="n">
        <x:f>SUM(E61,G61:J61)</x:f>
        <x:v>386</x:v>
      </x:c>
      <x:c r="L61" s="28" t="n">
        <x:v>65</x:v>
      </x:c>
      <x:c r="M61" s="28" t="n">
        <x:v>105</x:v>
      </x:c>
      <x:c r="N61" s="28" t="n">
        <x:v>60</x:v>
      </x:c>
      <x:c r="O61" s="28" t="n">
        <x:v>60</x:v>
      </x:c>
      <x:c r="P61" s="28" t="n">
        <x:v>70</x:v>
      </x:c>
      <x:c r="Q61" s="28" t="n">
        <x:v>95</x:v>
      </x:c>
      <x:c r="R61" s="30" t="str">
        <x:v>Strong STR/SPD; future PATK lean</x:v>
      </x:c>
    </x:row>
    <x:row r="62">
      <x:c r="A62" s="28" t="n">
        <x:v>58</x:v>
      </x:c>
      <x:c r="B62" s="30" t="str">
        <x:v>Growlithe</x:v>
      </x:c>
      <x:c r="C62" s="30" t="str">
        <x:v>Fire</x:v>
      </x:c>
      <x:c r="D62" s="28" t="str">
        <x:f>IF(M62&gt;=O62*1.15,"Physical",IF(O62&gt;=M62*1.15,"Magic","Hybrid"))</x:f>
        <x:v>Hybrid</x:v>
      </x:c>
      <x:c r="E62" s="28" t="n">
        <x:f>L62</x:f>
        <x:v>55</x:v>
      </x:c>
      <x:c r="F62" s="28" t="n">
        <x:f>ROUND(MAX(20,0.45*O62+0.15*P62+0.05*Q62),0)</x:f>
        <x:v>42</x:v>
      </x:c>
      <x:c r="G62" s="28" t="n">
        <x:f>ROUND(0.8*M62+0.2*O62,0)</x:f>
        <x:v>70</x:v>
      </x:c>
      <x:c r="H62" s="28" t="n">
        <x:f>ROUND(0.65*N62+0.35*P62,0)</x:f>
        <x:v>47</x:v>
      </x:c>
      <x:c r="I62" s="28" t="n">
        <x:f>ROUND(0.65*O62+0.25*P62+0.1*Q62,0)</x:f>
        <x:v>64</x:v>
      </x:c>
      <x:c r="J62" s="28" t="n">
        <x:f>Q62</x:f>
        <x:v>60</x:v>
      </x:c>
      <x:c r="K62" s="28" t="n">
        <x:f>SUM(E62,G62:J62)</x:f>
        <x:v>296</x:v>
      </x:c>
      <x:c r="L62" s="28" t="n">
        <x:v>55</x:v>
      </x:c>
      <x:c r="M62" s="28" t="n">
        <x:v>70</x:v>
      </x:c>
      <x:c r="N62" s="28" t="n">
        <x:v>45</x:v>
      </x:c>
      <x:c r="O62" s="28" t="n">
        <x:v>70</x:v>
      </x:c>
      <x:c r="P62" s="28" t="n">
        <x:v>50</x:v>
      </x:c>
      <x:c r="Q62" s="28" t="n">
        <x:v>60</x:v>
      </x:c>
      <x:c r="R62" s="30" t="str">
        <x:v>Strong STR/INT</x:v>
      </x:c>
    </x:row>
    <x:row r="63">
      <x:c r="A63" s="28" t="n">
        <x:v>59</x:v>
      </x:c>
      <x:c r="B63" s="30" t="str">
        <x:v>Arcanine</x:v>
      </x:c>
      <x:c r="C63" s="30" t="str">
        <x:v>Fire</x:v>
      </x:c>
      <x:c r="D63" s="28" t="str">
        <x:f>IF(M63&gt;=O63*1.15,"Physical",IF(O63&gt;=M63*1.15,"Magic","Hybrid"))</x:f>
        <x:v>Hybrid</x:v>
      </x:c>
      <x:c r="E63" s="28" t="n">
        <x:f>L63</x:f>
        <x:v>90</x:v>
      </x:c>
      <x:c r="F63" s="28" t="n">
        <x:f>ROUND(MAX(20,0.45*O63+0.15*P63+0.05*Q63),0)</x:f>
        <x:v>62</x:v>
      </x:c>
      <x:c r="G63" s="28" t="n">
        <x:f>ROUND(0.8*M63+0.2*O63,0)</x:f>
        <x:v>108</x:v>
      </x:c>
      <x:c r="H63" s="28" t="n">
        <x:f>ROUND(0.65*N63+0.35*P63,0)</x:f>
        <x:v>80</x:v>
      </x:c>
      <x:c r="I63" s="28" t="n">
        <x:f>ROUND(0.65*O63+0.25*P63+0.1*Q63,0)</x:f>
        <x:v>95</x:v>
      </x:c>
      <x:c r="J63" s="28" t="n">
        <x:f>Q63</x:f>
        <x:v>95</x:v>
      </x:c>
      <x:c r="K63" s="28" t="n">
        <x:f>SUM(E63,G63:J63)</x:f>
        <x:v>468</x:v>
      </x:c>
      <x:c r="L63" s="28" t="n">
        <x:v>90</x:v>
      </x:c>
      <x:c r="M63" s="28" t="n">
        <x:v>110</x:v>
      </x:c>
      <x:c r="N63" s="28" t="n">
        <x:v>80</x:v>
      </x:c>
      <x:c r="O63" s="28" t="n">
        <x:v>100</x:v>
      </x:c>
      <x:c r="P63" s="28" t="n">
        <x:v>80</x:v>
      </x:c>
      <x:c r="Q63" s="28" t="n">
        <x:v>95</x:v>
      </x:c>
      <x:c r="R63" s="30" t="str">
        <x:v>Strong STR/SPD; High MP</x:v>
      </x:c>
    </x:row>
    <x:row r="64">
      <x:c r="A64" s="28" t="n">
        <x:v>60</x:v>
      </x:c>
      <x:c r="B64" s="30" t="str">
        <x:v>Poliwag</x:v>
      </x:c>
      <x:c r="C64" s="30" t="str">
        <x:v>Water</x:v>
      </x:c>
      <x:c r="D64" s="28" t="str">
        <x:f>IF(M64&gt;=O64*1.15,"Physical",IF(O64&gt;=M64*1.15,"Magic","Hybrid"))</x:f>
        <x:v>Physical</x:v>
      </x:c>
      <x:c r="E64" s="28" t="n">
        <x:f>L64</x:f>
        <x:v>40</x:v>
      </x:c>
      <x:c r="F64" s="28" t="n">
        <x:f>ROUND(MAX(20,0.45*O64+0.15*P64+0.05*Q64),0)</x:f>
        <x:v>29</x:v>
      </x:c>
      <x:c r="G64" s="28" t="n">
        <x:f>ROUND(0.8*M64+0.2*O64,0)</x:f>
        <x:v>48</x:v>
      </x:c>
      <x:c r="H64" s="28" t="n">
        <x:f>ROUND(0.65*N64+0.35*P64,0)</x:f>
        <x:v>40</x:v>
      </x:c>
      <x:c r="I64" s="28" t="n">
        <x:f>ROUND(0.65*O64+0.25*P64+0.1*Q64,0)</x:f>
        <x:v>45</x:v>
      </x:c>
      <x:c r="J64" s="28" t="n">
        <x:f>Q64</x:f>
        <x:v>90</x:v>
      </x:c>
      <x:c r="K64" s="28" t="n">
        <x:f>SUM(E64,G64:J64)</x:f>
        <x:v>263</x:v>
      </x:c>
      <x:c r="L64" s="28" t="n">
        <x:v>40</x:v>
      </x:c>
      <x:c r="M64" s="28" t="n">
        <x:v>50</x:v>
      </x:c>
      <x:c r="N64" s="28" t="n">
        <x:v>40</x:v>
      </x:c>
      <x:c r="O64" s="28" t="n">
        <x:v>40</x:v>
      </x:c>
      <x:c r="P64" s="28" t="n">
        <x:v>40</x:v>
      </x:c>
      <x:c r="Q64" s="28" t="n">
        <x:v>90</x:v>
      </x:c>
      <x:c r="R64" s="30" t="str">
        <x:v>Strong SPD/STR; future PATK lean</x:v>
      </x:c>
    </x:row>
    <x:row r="65">
      <x:c r="A65" s="28" t="n">
        <x:v>61</x:v>
      </x:c>
      <x:c r="B65" s="30" t="str">
        <x:v>Poliwhirl</x:v>
      </x:c>
      <x:c r="C65" s="30" t="str">
        <x:v>Water</x:v>
      </x:c>
      <x:c r="D65" s="28" t="str">
        <x:f>IF(M65&gt;=O65*1.15,"Physical",IF(O65&gt;=M65*1.15,"Magic","Hybrid"))</x:f>
        <x:v>Physical</x:v>
      </x:c>
      <x:c r="E65" s="28" t="n">
        <x:f>L65</x:f>
        <x:v>65</x:v>
      </x:c>
      <x:c r="F65" s="28" t="n">
        <x:f>ROUND(MAX(20,0.45*O65+0.15*P65+0.05*Q65),0)</x:f>
        <x:v>35</x:v>
      </x:c>
      <x:c r="G65" s="28" t="n">
        <x:f>ROUND(0.8*M65+0.2*O65,0)</x:f>
        <x:v>62</x:v>
      </x:c>
      <x:c r="H65" s="28" t="n">
        <x:f>ROUND(0.65*N65+0.35*P65,0)</x:f>
        <x:v>60</x:v>
      </x:c>
      <x:c r="I65" s="28" t="n">
        <x:f>ROUND(0.65*O65+0.25*P65+0.1*Q65,0)</x:f>
        <x:v>54</x:v>
      </x:c>
      <x:c r="J65" s="28" t="n">
        <x:f>Q65</x:f>
        <x:v>90</x:v>
      </x:c>
      <x:c r="K65" s="28" t="n">
        <x:f>SUM(E65,G65:J65)</x:f>
        <x:v>331</x:v>
      </x:c>
      <x:c r="L65" s="28" t="n">
        <x:v>65</x:v>
      </x:c>
      <x:c r="M65" s="28" t="n">
        <x:v>65</x:v>
      </x:c>
      <x:c r="N65" s="28" t="n">
        <x:v>65</x:v>
      </x:c>
      <x:c r="O65" s="28" t="n">
        <x:v>50</x:v>
      </x:c>
      <x:c r="P65" s="28" t="n">
        <x:v>50</x:v>
      </x:c>
      <x:c r="Q65" s="28" t="n">
        <x:v>90</x:v>
      </x:c>
      <x:c r="R65" s="30" t="str">
        <x:v>Strong SPD/HP; future PATK lean</x:v>
      </x:c>
    </x:row>
    <x:row r="66">
      <x:c r="A66" s="28" t="n">
        <x:v>62</x:v>
      </x:c>
      <x:c r="B66" s="30" t="str">
        <x:v>Poliwrath</x:v>
      </x:c>
      <x:c r="C66" s="30" t="str">
        <x:v>Water / Fighting</x:v>
      </x:c>
      <x:c r="D66" s="28" t="str">
        <x:f>IF(M66&gt;=O66*1.15,"Physical",IF(O66&gt;=M66*1.15,"Magic","Hybrid"))</x:f>
        <x:v>Physical</x:v>
      </x:c>
      <x:c r="E66" s="28" t="n">
        <x:f>L66</x:f>
        <x:v>90</x:v>
      </x:c>
      <x:c r="F66" s="28" t="n">
        <x:f>ROUND(MAX(20,0.45*O66+0.15*P66+0.05*Q66),0)</x:f>
        <x:v>49</x:v>
      </x:c>
      <x:c r="G66" s="28" t="n">
        <x:f>ROUND(0.8*M66+0.2*O66,0)</x:f>
        <x:v>90</x:v>
      </x:c>
      <x:c r="H66" s="28" t="n">
        <x:f>ROUND(0.65*N66+0.35*P66,0)</x:f>
        <x:v>93</x:v>
      </x:c>
      <x:c r="I66" s="28" t="n">
        <x:f>ROUND(0.65*O66+0.25*P66+0.1*Q66,0)</x:f>
        <x:v>75</x:v>
      </x:c>
      <x:c r="J66" s="28" t="n">
        <x:f>Q66</x:f>
        <x:v>70</x:v>
      </x:c>
      <x:c r="K66" s="28" t="n">
        <x:f>SUM(E66,G66:J66)</x:f>
        <x:v>418</x:v>
      </x:c>
      <x:c r="L66" s="28" t="n">
        <x:v>90</x:v>
      </x:c>
      <x:c r="M66" s="28" t="n">
        <x:v>95</x:v>
      </x:c>
      <x:c r="N66" s="28" t="n">
        <x:v>95</x:v>
      </x:c>
      <x:c r="O66" s="28" t="n">
        <x:v>70</x:v>
      </x:c>
      <x:c r="P66" s="28" t="n">
        <x:v>90</x:v>
      </x:c>
      <x:c r="Q66" s="28" t="n">
        <x:v>70</x:v>
      </x:c>
      <x:c r="R66" s="30" t="str">
        <x:v>Strong DEF/HP; future PATK lean</x:v>
      </x:c>
    </x:row>
    <x:row r="67">
      <x:c r="A67" s="28" t="n">
        <x:v>63</x:v>
      </x:c>
      <x:c r="B67" s="30" t="str">
        <x:v>Abra</x:v>
      </x:c>
      <x:c r="C67" s="30" t="str">
        <x:v>Psychic</x:v>
      </x:c>
      <x:c r="D67" s="28" t="str">
        <x:f>IF(M67&gt;=O67*1.15,"Physical",IF(O67&gt;=M67*1.15,"Magic","Hybrid"))</x:f>
        <x:v>Magic</x:v>
      </x:c>
      <x:c r="E67" s="28" t="n">
        <x:f>L67</x:f>
        <x:v>25</x:v>
      </x:c>
      <x:c r="F67" s="28" t="n">
        <x:f>ROUND(MAX(20,0.45*O67+0.15*P67+0.05*Q67),0)</x:f>
        <x:v>60</x:v>
      </x:c>
      <x:c r="G67" s="28" t="n">
        <x:f>ROUND(0.8*M67+0.2*O67,0)</x:f>
        <x:v>37</x:v>
      </x:c>
      <x:c r="H67" s="28" t="n">
        <x:f>ROUND(0.65*N67+0.35*P67,0)</x:f>
        <x:v>29</x:v>
      </x:c>
      <x:c r="I67" s="28" t="n">
        <x:f>ROUND(0.65*O67+0.25*P67+0.1*Q67,0)</x:f>
        <x:v>91</x:v>
      </x:c>
      <x:c r="J67" s="28" t="n">
        <x:f>Q67</x:f>
        <x:v>90</x:v>
      </x:c>
      <x:c r="K67" s="28" t="n">
        <x:f>SUM(E67,G67:J67)</x:f>
        <x:v>272</x:v>
      </x:c>
      <x:c r="L67" s="28" t="n">
        <x:v>25</x:v>
      </x:c>
      <x:c r="M67" s="28" t="n">
        <x:v>20</x:v>
      </x:c>
      <x:c r="N67" s="28" t="n">
        <x:v>15</x:v>
      </x:c>
      <x:c r="O67" s="28" t="n">
        <x:v>105</x:v>
      </x:c>
      <x:c r="P67" s="28" t="n">
        <x:v>55</x:v>
      </x:c>
      <x:c r="Q67" s="28" t="n">
        <x:v>90</x:v>
      </x:c>
      <x:c r="R67" s="30" t="str">
        <x:v>Strong INT/SPD; future MATK lean</x:v>
      </x:c>
    </x:row>
    <x:row r="68">
      <x:c r="A68" s="28" t="n">
        <x:v>64</x:v>
      </x:c>
      <x:c r="B68" s="30" t="str">
        <x:v>Kadabra</x:v>
      </x:c>
      <x:c r="C68" s="30" t="str">
        <x:v>Psychic</x:v>
      </x:c>
      <x:c r="D68" s="28" t="str">
        <x:f>IF(M68&gt;=O68*1.15,"Physical",IF(O68&gt;=M68*1.15,"Magic","Hybrid"))</x:f>
        <x:v>Magic</x:v>
      </x:c>
      <x:c r="E68" s="28" t="n">
        <x:f>L68</x:f>
        <x:v>40</x:v>
      </x:c>
      <x:c r="F68" s="28" t="n">
        <x:f>ROUND(MAX(20,0.45*O68+0.15*P68+0.05*Q68),0)</x:f>
        <x:v>70</x:v>
      </x:c>
      <x:c r="G68" s="28" t="n">
        <x:f>ROUND(0.8*M68+0.2*O68,0)</x:f>
        <x:v>52</x:v>
      </x:c>
      <x:c r="H68" s="28" t="n">
        <x:f>ROUND(0.65*N68+0.35*P68,0)</x:f>
        <x:v>44</x:v>
      </x:c>
      <x:c r="I68" s="28" t="n">
        <x:f>ROUND(0.65*O68+0.25*P68+0.1*Q68,0)</x:f>
        <x:v>106</x:v>
      </x:c>
      <x:c r="J68" s="28" t="n">
        <x:f>Q68</x:f>
        <x:v>105</x:v>
      </x:c>
      <x:c r="K68" s="28" t="n">
        <x:f>SUM(E68,G68:J68)</x:f>
        <x:v>347</x:v>
      </x:c>
      <x:c r="L68" s="28" t="n">
        <x:v>40</x:v>
      </x:c>
      <x:c r="M68" s="28" t="n">
        <x:v>35</x:v>
      </x:c>
      <x:c r="N68" s="28" t="n">
        <x:v>30</x:v>
      </x:c>
      <x:c r="O68" s="28" t="n">
        <x:v>120</x:v>
      </x:c>
      <x:c r="P68" s="28" t="n">
        <x:v>70</x:v>
      </x:c>
      <x:c r="Q68" s="28" t="n">
        <x:v>105</x:v>
      </x:c>
      <x:c r="R68" s="30" t="str">
        <x:v>Strong INT/SPD; High MP; future MATK lean</x:v>
      </x:c>
    </x:row>
    <x:row r="69">
      <x:c r="A69" s="28" t="n">
        <x:v>65</x:v>
      </x:c>
      <x:c r="B69" s="30" t="str">
        <x:v>Alakazam</x:v>
      </x:c>
      <x:c r="C69" s="30" t="str">
        <x:v>Psychic</x:v>
      </x:c>
      <x:c r="D69" s="28" t="str">
        <x:f>IF(M69&gt;=O69*1.15,"Physical",IF(O69&gt;=M69*1.15,"Magic","Hybrid"))</x:f>
        <x:v>Magic</x:v>
      </x:c>
      <x:c r="E69" s="28" t="n">
        <x:f>L69</x:f>
        <x:v>55</x:v>
      </x:c>
      <x:c r="F69" s="28" t="n">
        <x:f>ROUND(MAX(20,0.45*O69+0.15*P69+0.05*Q69),0)</x:f>
        <x:v>81</x:v>
      </x:c>
      <x:c r="G69" s="28" t="n">
        <x:f>ROUND(0.8*M69+0.2*O69,0)</x:f>
        <x:v>67</x:v>
      </x:c>
      <x:c r="H69" s="28" t="n">
        <x:f>ROUND(0.65*N69+0.35*P69,0)</x:f>
        <x:v>63</x:v>
      </x:c>
      <x:c r="I69" s="28" t="n">
        <x:f>ROUND(0.65*O69+0.25*P69+0.1*Q69,0)</x:f>
        <x:v>124</x:v>
      </x:c>
      <x:c r="J69" s="28" t="n">
        <x:f>Q69</x:f>
        <x:v>120</x:v>
      </x:c>
      <x:c r="K69" s="28" t="n">
        <x:f>SUM(E69,G69:J69)</x:f>
        <x:v>429</x:v>
      </x:c>
      <x:c r="L69" s="28" t="n">
        <x:v>55</x:v>
      </x:c>
      <x:c r="M69" s="28" t="n">
        <x:v>50</x:v>
      </x:c>
      <x:c r="N69" s="28" t="n">
        <x:v>45</x:v>
      </x:c>
      <x:c r="O69" s="28" t="n">
        <x:v>135</x:v>
      </x:c>
      <x:c r="P69" s="28" t="n">
        <x:v>95</x:v>
      </x:c>
      <x:c r="Q69" s="28" t="n">
        <x:v>120</x:v>
      </x:c>
      <x:c r="R69" s="30" t="str">
        <x:v>Strong INT/SPD; High MP; future MATK lean</x:v>
      </x:c>
    </x:row>
    <x:row r="70">
      <x:c r="A70" s="28" t="n">
        <x:v>66</x:v>
      </x:c>
      <x:c r="B70" s="30" t="str">
        <x:v>Machop</x:v>
      </x:c>
      <x:c r="C70" s="30" t="str">
        <x:v>Fighting</x:v>
      </x:c>
      <x:c r="D70" s="28" t="str">
        <x:f>IF(M70&gt;=O70*1.15,"Physical",IF(O70&gt;=M70*1.15,"Magic","Hybrid"))</x:f>
        <x:v>Physical</x:v>
      </x:c>
      <x:c r="E70" s="28" t="n">
        <x:f>L70</x:f>
        <x:v>70</x:v>
      </x:c>
      <x:c r="F70" s="28" t="n">
        <x:f>ROUND(MAX(20,0.45*O70+0.15*P70+0.05*Q70),0)</x:f>
        <x:v>23</x:v>
      </x:c>
      <x:c r="G70" s="28" t="n">
        <x:f>ROUND(0.8*M70+0.2*O70,0)</x:f>
        <x:v>71</x:v>
      </x:c>
      <x:c r="H70" s="28" t="n">
        <x:f>ROUND(0.65*N70+0.35*P70,0)</x:f>
        <x:v>45</x:v>
      </x:c>
      <x:c r="I70" s="28" t="n">
        <x:f>ROUND(0.65*O70+0.25*P70+0.1*Q70,0)</x:f>
        <x:v>35</x:v>
      </x:c>
      <x:c r="J70" s="28" t="n">
        <x:f>Q70</x:f>
        <x:v>35</x:v>
      </x:c>
      <x:c r="K70" s="28" t="n">
        <x:f>SUM(E70,G70:J70)</x:f>
        <x:v>256</x:v>
      </x:c>
      <x:c r="L70" s="28" t="n">
        <x:v>70</x:v>
      </x:c>
      <x:c r="M70" s="28" t="n">
        <x:v>80</x:v>
      </x:c>
      <x:c r="N70" s="28" t="n">
        <x:v>50</x:v>
      </x:c>
      <x:c r="O70" s="28" t="n">
        <x:v>35</x:v>
      </x:c>
      <x:c r="P70" s="28" t="n">
        <x:v>35</x:v>
      </x:c>
      <x:c r="Q70" s="28" t="n">
        <x:v>35</x:v>
      </x:c>
      <x:c r="R70" s="30" t="str">
        <x:v>Strong STR/HP; Low MP; future PATK lean</x:v>
      </x:c>
    </x:row>
    <x:row r="71">
      <x:c r="A71" s="28" t="n">
        <x:v>67</x:v>
      </x:c>
      <x:c r="B71" s="30" t="str">
        <x:v>Machoke</x:v>
      </x:c>
      <x:c r="C71" s="30" t="str">
        <x:v>Fighting</x:v>
      </x:c>
      <x:c r="D71" s="28" t="str">
        <x:f>IF(M71&gt;=O71*1.15,"Physical",IF(O71&gt;=M71*1.15,"Magic","Hybrid"))</x:f>
        <x:v>Physical</x:v>
      </x:c>
      <x:c r="E71" s="28" t="n">
        <x:f>L71</x:f>
        <x:v>80</x:v>
      </x:c>
      <x:c r="F71" s="28" t="n">
        <x:f>ROUND(MAX(20,0.45*O71+0.15*P71+0.05*Q71),0)</x:f>
        <x:v>34</x:v>
      </x:c>
      <x:c r="G71" s="28" t="n">
        <x:f>ROUND(0.8*M71+0.2*O71,0)</x:f>
        <x:v>90</x:v>
      </x:c>
      <x:c r="H71" s="28" t="n">
        <x:f>ROUND(0.65*N71+0.35*P71,0)</x:f>
        <x:v>67</x:v>
      </x:c>
      <x:c r="I71" s="28" t="n">
        <x:f>ROUND(0.65*O71+0.25*P71+0.1*Q71,0)</x:f>
        <x:v>52</x:v>
      </x:c>
      <x:c r="J71" s="28" t="n">
        <x:f>Q71</x:f>
        <x:v>45</x:v>
      </x:c>
      <x:c r="K71" s="28" t="n">
        <x:f>SUM(E71,G71:J71)</x:f>
        <x:v>334</x:v>
      </x:c>
      <x:c r="L71" s="28" t="n">
        <x:v>80</x:v>
      </x:c>
      <x:c r="M71" s="28" t="n">
        <x:v>100</x:v>
      </x:c>
      <x:c r="N71" s="28" t="n">
        <x:v>70</x:v>
      </x:c>
      <x:c r="O71" s="28" t="n">
        <x:v>50</x:v>
      </x:c>
      <x:c r="P71" s="28" t="n">
        <x:v>60</x:v>
      </x:c>
      <x:c r="Q71" s="28" t="n">
        <x:v>45</x:v>
      </x:c>
      <x:c r="R71" s="30" t="str">
        <x:v>Strong STR/HP; future PATK lean</x:v>
      </x:c>
    </x:row>
    <x:row r="72">
      <x:c r="A72" s="28" t="n">
        <x:v>68</x:v>
      </x:c>
      <x:c r="B72" s="30" t="str">
        <x:v>Machamp</x:v>
      </x:c>
      <x:c r="C72" s="30" t="str">
        <x:v>Fighting</x:v>
      </x:c>
      <x:c r="D72" s="28" t="str">
        <x:f>IF(M72&gt;=O72*1.15,"Physical",IF(O72&gt;=M72*1.15,"Magic","Hybrid"))</x:f>
        <x:v>Physical</x:v>
      </x:c>
      <x:c r="E72" s="28" t="n">
        <x:f>L72</x:f>
        <x:v>90</x:v>
      </x:c>
      <x:c r="F72" s="28" t="n">
        <x:f>ROUND(MAX(20,0.45*O72+0.15*P72+0.05*Q72),0)</x:f>
        <x:v>45</x:v>
      </x:c>
      <x:c r="G72" s="28" t="n">
        <x:f>ROUND(0.8*M72+0.2*O72,0)</x:f>
        <x:v>117</x:v>
      </x:c>
      <x:c r="H72" s="28" t="n">
        <x:f>ROUND(0.65*N72+0.35*P72,0)</x:f>
        <x:v>82</x:v>
      </x:c>
      <x:c r="I72" s="28" t="n">
        <x:f>ROUND(0.65*O72+0.25*P72+0.1*Q72,0)</x:f>
        <x:v>69</x:v>
      </x:c>
      <x:c r="J72" s="28" t="n">
        <x:f>Q72</x:f>
        <x:v>55</x:v>
      </x:c>
      <x:c r="K72" s="28" t="n">
        <x:f>SUM(E72,G72:J72)</x:f>
        <x:v>413</x:v>
      </x:c>
      <x:c r="L72" s="28" t="n">
        <x:v>90</x:v>
      </x:c>
      <x:c r="M72" s="28" t="n">
        <x:v>130</x:v>
      </x:c>
      <x:c r="N72" s="28" t="n">
        <x:v>80</x:v>
      </x:c>
      <x:c r="O72" s="28" t="n">
        <x:v>65</x:v>
      </x:c>
      <x:c r="P72" s="28" t="n">
        <x:v>85</x:v>
      </x:c>
      <x:c r="Q72" s="28" t="n">
        <x:v>55</x:v>
      </x:c>
      <x:c r="R72" s="30" t="str">
        <x:v>Strong STR/HP; future PATK lean</x:v>
      </x:c>
    </x:row>
    <x:row r="73">
      <x:c r="A73" s="28" t="n">
        <x:v>69</x:v>
      </x:c>
      <x:c r="B73" s="30" t="str">
        <x:v>Bellsprout</x:v>
      </x:c>
      <x:c r="C73" s="30" t="str">
        <x:v>Grass / Poison</x:v>
      </x:c>
      <x:c r="D73" s="28" t="str">
        <x:f>IF(M73&gt;=O73*1.15,"Physical",IF(O73&gt;=M73*1.15,"Magic","Hybrid"))</x:f>
        <x:v>Hybrid</x:v>
      </x:c>
      <x:c r="E73" s="28" t="n">
        <x:f>L73</x:f>
        <x:v>50</x:v>
      </x:c>
      <x:c r="F73" s="28" t="n">
        <x:f>ROUND(MAX(20,0.45*O73+0.15*P73+0.05*Q73),0)</x:f>
        <x:v>38</x:v>
      </x:c>
      <x:c r="G73" s="28" t="n">
        <x:f>ROUND(0.8*M73+0.2*O73,0)</x:f>
        <x:v>74</x:v>
      </x:c>
      <x:c r="H73" s="28" t="n">
        <x:f>ROUND(0.65*N73+0.35*P73,0)</x:f>
        <x:v>33</x:v>
      </x:c>
      <x:c r="I73" s="28" t="n">
        <x:f>ROUND(0.65*O73+0.25*P73+0.1*Q73,0)</x:f>
        <x:v>57</x:v>
      </x:c>
      <x:c r="J73" s="28" t="n">
        <x:f>Q73</x:f>
        <x:v>40</x:v>
      </x:c>
      <x:c r="K73" s="28" t="n">
        <x:f>SUM(E73,G73:J73)</x:f>
        <x:v>254</x:v>
      </x:c>
      <x:c r="L73" s="28" t="n">
        <x:v>50</x:v>
      </x:c>
      <x:c r="M73" s="28" t="n">
        <x:v>75</x:v>
      </x:c>
      <x:c r="N73" s="28" t="n">
        <x:v>35</x:v>
      </x:c>
      <x:c r="O73" s="28" t="n">
        <x:v>70</x:v>
      </x:c>
      <x:c r="P73" s="28" t="n">
        <x:v>30</x:v>
      </x:c>
      <x:c r="Q73" s="28" t="n">
        <x:v>40</x:v>
      </x:c>
      <x:c r="R73" s="30" t="str">
        <x:v>Strong STR/INT</x:v>
      </x:c>
    </x:row>
    <x:row r="74">
      <x:c r="A74" s="28" t="n">
        <x:v>70</x:v>
      </x:c>
      <x:c r="B74" s="30" t="str">
        <x:v>Weepinbell</x:v>
      </x:c>
      <x:c r="C74" s="30" t="str">
        <x:v>Grass / Poison</x:v>
      </x:c>
      <x:c r="D74" s="28" t="str">
        <x:f>IF(M74&gt;=O74*1.15,"Physical",IF(O74&gt;=M74*1.15,"Magic","Hybrid"))</x:f>
        <x:v>Hybrid</x:v>
      </x:c>
      <x:c r="E74" s="28" t="n">
        <x:f>L74</x:f>
        <x:v>65</x:v>
      </x:c>
      <x:c r="F74" s="28" t="n">
        <x:f>ROUND(MAX(20,0.45*O74+0.15*P74+0.05*Q74),0)</x:f>
        <x:v>48</x:v>
      </x:c>
      <x:c r="G74" s="28" t="n">
        <x:f>ROUND(0.8*M74+0.2*O74,0)</x:f>
        <x:v>89</x:v>
      </x:c>
      <x:c r="H74" s="28" t="n">
        <x:f>ROUND(0.65*N74+0.35*P74,0)</x:f>
        <x:v>48</x:v>
      </x:c>
      <x:c r="I74" s="28" t="n">
        <x:f>ROUND(0.65*O74+0.25*P74+0.1*Q74,0)</x:f>
        <x:v>72</x:v>
      </x:c>
      <x:c r="J74" s="28" t="n">
        <x:f>Q74</x:f>
        <x:v>55</x:v>
      </x:c>
      <x:c r="K74" s="28" t="n">
        <x:f>SUM(E74,G74:J74)</x:f>
        <x:v>329</x:v>
      </x:c>
      <x:c r="L74" s="28" t="n">
        <x:v>65</x:v>
      </x:c>
      <x:c r="M74" s="28" t="n">
        <x:v>90</x:v>
      </x:c>
      <x:c r="N74" s="28" t="n">
        <x:v>50</x:v>
      </x:c>
      <x:c r="O74" s="28" t="n">
        <x:v>85</x:v>
      </x:c>
      <x:c r="P74" s="28" t="n">
        <x:v>45</x:v>
      </x:c>
      <x:c r="Q74" s="28" t="n">
        <x:v>55</x:v>
      </x:c>
      <x:c r="R74" s="30" t="str">
        <x:v>Strong STR/INT</x:v>
      </x:c>
    </x:row>
    <x:row r="75">
      <x:c r="A75" s="28" t="n">
        <x:v>71</x:v>
      </x:c>
      <x:c r="B75" s="30" t="str">
        <x:v>Victreebel</x:v>
      </x:c>
      <x:c r="C75" s="30" t="str">
        <x:v>Grass / Poison</x:v>
      </x:c>
      <x:c r="D75" s="28" t="str">
        <x:f>IF(M75&gt;=O75*1.15,"Physical",IF(O75&gt;=M75*1.15,"Magic","Hybrid"))</x:f>
        <x:v>Hybrid</x:v>
      </x:c>
      <x:c r="E75" s="28" t="n">
        <x:f>L75</x:f>
        <x:v>80</x:v>
      </x:c>
      <x:c r="F75" s="28" t="n">
        <x:f>ROUND(MAX(20,0.45*O75+0.15*P75+0.05*Q75),0)</x:f>
        <x:v>59</x:v>
      </x:c>
      <x:c r="G75" s="28" t="n">
        <x:f>ROUND(0.8*M75+0.2*O75,0)</x:f>
        <x:v>104</x:v>
      </x:c>
      <x:c r="H75" s="28" t="n">
        <x:f>ROUND(0.65*N75+0.35*P75,0)</x:f>
        <x:v>67</x:v>
      </x:c>
      <x:c r="I75" s="28" t="n">
        <x:f>ROUND(0.65*O75+0.25*P75+0.1*Q75,0)</x:f>
        <x:v>90</x:v>
      </x:c>
      <x:c r="J75" s="28" t="n">
        <x:f>Q75</x:f>
        <x:v>70</x:v>
      </x:c>
      <x:c r="K75" s="28" t="n">
        <x:f>SUM(E75,G75:J75)</x:f>
        <x:v>411</x:v>
      </x:c>
      <x:c r="L75" s="28" t="n">
        <x:v>80</x:v>
      </x:c>
      <x:c r="M75" s="28" t="n">
        <x:v>105</x:v>
      </x:c>
      <x:c r="N75" s="28" t="n">
        <x:v>65</x:v>
      </x:c>
      <x:c r="O75" s="28" t="n">
        <x:v>100</x:v>
      </x:c>
      <x:c r="P75" s="28" t="n">
        <x:v>70</x:v>
      </x:c>
      <x:c r="Q75" s="28" t="n">
        <x:v>70</x:v>
      </x:c>
      <x:c r="R75" s="30" t="str">
        <x:v>Strong STR/INT</x:v>
      </x:c>
    </x:row>
    <x:row r="76">
      <x:c r="A76" s="28" t="n">
        <x:v>72</x:v>
      </x:c>
      <x:c r="B76" s="30" t="str">
        <x:v>Tentacool</x:v>
      </x:c>
      <x:c r="C76" s="30" t="str">
        <x:v>Water / Poison</x:v>
      </x:c>
      <x:c r="D76" s="28" t="str">
        <x:f>IF(M76&gt;=O76*1.15,"Physical",IF(O76&gt;=M76*1.15,"Magic","Hybrid"))</x:f>
        <x:v>Magic</x:v>
      </x:c>
      <x:c r="E76" s="28" t="n">
        <x:f>L76</x:f>
        <x:v>40</x:v>
      </x:c>
      <x:c r="F76" s="28" t="n">
        <x:f>ROUND(MAX(20,0.45*O76+0.15*P76+0.05*Q76),0)</x:f>
        <x:v>41</x:v>
      </x:c>
      <x:c r="G76" s="28" t="n">
        <x:f>ROUND(0.8*M76+0.2*O76,0)</x:f>
        <x:v>42</x:v>
      </x:c>
      <x:c r="H76" s="28" t="n">
        <x:f>ROUND(0.65*N76+0.35*P76,0)</x:f>
        <x:v>58</x:v>
      </x:c>
      <x:c r="I76" s="28" t="n">
        <x:f>ROUND(0.65*O76+0.25*P76+0.1*Q76,0)</x:f>
        <x:v>65</x:v>
      </x:c>
      <x:c r="J76" s="28" t="n">
        <x:f>Q76</x:f>
        <x:v>70</x:v>
      </x:c>
      <x:c r="K76" s="28" t="n">
        <x:f>SUM(E76,G76:J76)</x:f>
        <x:v>275</x:v>
      </x:c>
      <x:c r="L76" s="28" t="n">
        <x:v>40</x:v>
      </x:c>
      <x:c r="M76" s="28" t="n">
        <x:v>40</x:v>
      </x:c>
      <x:c r="N76" s="28" t="n">
        <x:v>35</x:v>
      </x:c>
      <x:c r="O76" s="28" t="n">
        <x:v>50</x:v>
      </x:c>
      <x:c r="P76" s="28" t="n">
        <x:v>100</x:v>
      </x:c>
      <x:c r="Q76" s="28" t="n">
        <x:v>70</x:v>
      </x:c>
      <x:c r="R76" s="30" t="str">
        <x:v>Strong SPD/INT; future MATK lean</x:v>
      </x:c>
    </x:row>
    <x:row r="77">
      <x:c r="A77" s="28" t="n">
        <x:v>73</x:v>
      </x:c>
      <x:c r="B77" s="30" t="str">
        <x:v>Tentacruel</x:v>
      </x:c>
      <x:c r="C77" s="30" t="str">
        <x:v>Water / Poison</x:v>
      </x:c>
      <x:c r="D77" s="28" t="str">
        <x:f>IF(M77&gt;=O77*1.15,"Physical",IF(O77&gt;=M77*1.15,"Magic","Hybrid"))</x:f>
        <x:v>Hybrid</x:v>
      </x:c>
      <x:c r="E77" s="28" t="n">
        <x:f>L77</x:f>
        <x:v>80</x:v>
      </x:c>
      <x:c r="F77" s="28" t="n">
        <x:f>ROUND(MAX(20,0.45*O77+0.15*P77+0.05*Q77),0)</x:f>
        <x:v>59</x:v>
      </x:c>
      <x:c r="G77" s="28" t="n">
        <x:f>ROUND(0.8*M77+0.2*O77,0)</x:f>
        <x:v>72</x:v>
      </x:c>
      <x:c r="H77" s="28" t="n">
        <x:f>ROUND(0.65*N77+0.35*P77,0)</x:f>
        <x:v>84</x:v>
      </x:c>
      <x:c r="I77" s="28" t="n">
        <x:f>ROUND(0.65*O77+0.25*P77+0.1*Q77,0)</x:f>
        <x:v>92</x:v>
      </x:c>
      <x:c r="J77" s="28" t="n">
        <x:f>Q77</x:f>
        <x:v>100</x:v>
      </x:c>
      <x:c r="K77" s="28" t="n">
        <x:f>SUM(E77,G77:J77)</x:f>
        <x:v>428</x:v>
      </x:c>
      <x:c r="L77" s="28" t="n">
        <x:v>80</x:v>
      </x:c>
      <x:c r="M77" s="28" t="n">
        <x:v>70</x:v>
      </x:c>
      <x:c r="N77" s="28" t="n">
        <x:v>65</x:v>
      </x:c>
      <x:c r="O77" s="28" t="n">
        <x:v>80</x:v>
      </x:c>
      <x:c r="P77" s="28" t="n">
        <x:v>120</x:v>
      </x:c>
      <x:c r="Q77" s="28" t="n">
        <x:v>100</x:v>
      </x:c>
      <x:c r="R77" s="30" t="str">
        <x:v>Strong SPD/INT; High MP</x:v>
      </x:c>
    </x:row>
    <x:row r="78">
      <x:c r="A78" s="28" t="n">
        <x:v>74</x:v>
      </x:c>
      <x:c r="B78" s="30" t="str">
        <x:v>Geodude</x:v>
      </x:c>
      <x:c r="C78" s="30" t="str">
        <x:v>Rock / Ground</x:v>
      </x:c>
      <x:c r="D78" s="28" t="str">
        <x:f>IF(M78&gt;=O78*1.15,"Physical",IF(O78&gt;=M78*1.15,"Magic","Hybrid"))</x:f>
        <x:v>Physical</x:v>
      </x:c>
      <x:c r="E78" s="28" t="n">
        <x:f>L78</x:f>
        <x:v>40</x:v>
      </x:c>
      <x:c r="F78" s="28" t="n">
        <x:f>ROUND(MAX(20,0.45*O78+0.15*P78+0.05*Q78),0)</x:f>
        <x:v>20</x:v>
      </x:c>
      <x:c r="G78" s="28" t="n">
        <x:f>ROUND(0.8*M78+0.2*O78,0)</x:f>
        <x:v>70</x:v>
      </x:c>
      <x:c r="H78" s="28" t="n">
        <x:f>ROUND(0.65*N78+0.35*P78,0)</x:f>
        <x:v>76</x:v>
      </x:c>
      <x:c r="I78" s="28" t="n">
        <x:f>ROUND(0.65*O78+0.25*P78+0.1*Q78,0)</x:f>
        <x:v>29</x:v>
      </x:c>
      <x:c r="J78" s="28" t="n">
        <x:f>Q78</x:f>
        <x:v>20</x:v>
      </x:c>
      <x:c r="K78" s="28" t="n">
        <x:f>SUM(E78,G78:J78)</x:f>
        <x:v>235</x:v>
      </x:c>
      <x:c r="L78" s="28" t="n">
        <x:v>40</x:v>
      </x:c>
      <x:c r="M78" s="28" t="n">
        <x:v>80</x:v>
      </x:c>
      <x:c r="N78" s="28" t="n">
        <x:v>100</x:v>
      </x:c>
      <x:c r="O78" s="28" t="n">
        <x:v>30</x:v>
      </x:c>
      <x:c r="P78" s="28" t="n">
        <x:v>30</x:v>
      </x:c>
      <x:c r="Q78" s="28" t="n">
        <x:v>20</x:v>
      </x:c>
      <x:c r="R78" s="30" t="str">
        <x:v>Strong DEF/STR; Low MP; future PATK lean</x:v>
      </x:c>
    </x:row>
    <x:row r="79">
      <x:c r="A79" s="28" t="n">
        <x:v>75</x:v>
      </x:c>
      <x:c r="B79" s="30" t="str">
        <x:v>Graveler</x:v>
      </x:c>
      <x:c r="C79" s="30" t="str">
        <x:v>Rock / Ground</x:v>
      </x:c>
      <x:c r="D79" s="28" t="str">
        <x:f>IF(M79&gt;=O79*1.15,"Physical",IF(O79&gt;=M79*1.15,"Magic","Hybrid"))</x:f>
        <x:v>Physical</x:v>
      </x:c>
      <x:c r="E79" s="28" t="n">
        <x:f>L79</x:f>
        <x:v>55</x:v>
      </x:c>
      <x:c r="F79" s="28" t="n">
        <x:f>ROUND(MAX(20,0.45*O79+0.15*P79+0.05*Q79),0)</x:f>
        <x:v>29</x:v>
      </x:c>
      <x:c r="G79" s="28" t="n">
        <x:f>ROUND(0.8*M79+0.2*O79,0)</x:f>
        <x:v>85</x:v>
      </x:c>
      <x:c r="H79" s="28" t="n">
        <x:f>ROUND(0.65*N79+0.35*P79,0)</x:f>
        <x:v>91</x:v>
      </x:c>
      <x:c r="I79" s="28" t="n">
        <x:f>ROUND(0.65*O79+0.25*P79+0.1*Q79,0)</x:f>
        <x:v>44</x:v>
      </x:c>
      <x:c r="J79" s="28" t="n">
        <x:f>Q79</x:f>
        <x:v>35</x:v>
      </x:c>
      <x:c r="K79" s="28" t="n">
        <x:f>SUM(E79,G79:J79)</x:f>
        <x:v>310</x:v>
      </x:c>
      <x:c r="L79" s="28" t="n">
        <x:v>55</x:v>
      </x:c>
      <x:c r="M79" s="28" t="n">
        <x:v>95</x:v>
      </x:c>
      <x:c r="N79" s="28" t="n">
        <x:v>115</x:v>
      </x:c>
      <x:c r="O79" s="28" t="n">
        <x:v>45</x:v>
      </x:c>
      <x:c r="P79" s="28" t="n">
        <x:v>45</x:v>
      </x:c>
      <x:c r="Q79" s="28" t="n">
        <x:v>35</x:v>
      </x:c>
      <x:c r="R79" s="30" t="str">
        <x:v>Strong DEF/STR; future PATK lean</x:v>
      </x:c>
    </x:row>
    <x:row r="80">
      <x:c r="A80" s="28" t="n">
        <x:v>76</x:v>
      </x:c>
      <x:c r="B80" s="30" t="str">
        <x:v>Golem</x:v>
      </x:c>
      <x:c r="C80" s="30" t="str">
        <x:v>Rock / Ground</x:v>
      </x:c>
      <x:c r="D80" s="28" t="str">
        <x:f>IF(M80&gt;=O80*1.15,"Physical",IF(O80&gt;=M80*1.15,"Magic","Hybrid"))</x:f>
        <x:v>Physical</x:v>
      </x:c>
      <x:c r="E80" s="28" t="n">
        <x:f>L80</x:f>
        <x:v>80</x:v>
      </x:c>
      <x:c r="F80" s="28" t="n">
        <x:f>ROUND(MAX(20,0.45*O80+0.15*P80+0.05*Q80),0)</x:f>
        <x:v>37</x:v>
      </x:c>
      <x:c r="G80" s="28" t="n">
        <x:f>ROUND(0.8*M80+0.2*O80,0)</x:f>
        <x:v>107</x:v>
      </x:c>
      <x:c r="H80" s="28" t="n">
        <x:f>ROUND(0.65*N80+0.35*P80,0)</x:f>
        <x:v>107</x:v>
      </x:c>
      <x:c r="I80" s="28" t="n">
        <x:f>ROUND(0.65*O80+0.25*P80+0.1*Q80,0)</x:f>
        <x:v>57</x:v>
      </x:c>
      <x:c r="J80" s="28" t="n">
        <x:f>Q80</x:f>
        <x:v>45</x:v>
      </x:c>
      <x:c r="K80" s="28" t="n">
        <x:f>SUM(E80,G80:J80)</x:f>
        <x:v>396</x:v>
      </x:c>
      <x:c r="L80" s="28" t="n">
        <x:v>80</x:v>
      </x:c>
      <x:c r="M80" s="28" t="n">
        <x:v>120</x:v>
      </x:c>
      <x:c r="N80" s="28" t="n">
        <x:v>130</x:v>
      </x:c>
      <x:c r="O80" s="28" t="n">
        <x:v>55</x:v>
      </x:c>
      <x:c r="P80" s="28" t="n">
        <x:v>65</x:v>
      </x:c>
      <x:c r="Q80" s="28" t="n">
        <x:v>45</x:v>
      </x:c>
      <x:c r="R80" s="30" t="str">
        <x:v>Strong STR/DEF; future PATK lean</x:v>
      </x:c>
    </x:row>
    <x:row r="81">
      <x:c r="A81" s="28" t="n">
        <x:v>77</x:v>
      </x:c>
      <x:c r="B81" s="30" t="str">
        <x:v>Ponyta</x:v>
      </x:c>
      <x:c r="C81" s="30" t="str">
        <x:v>Fire</x:v>
      </x:c>
      <x:c r="D81" s="28" t="str">
        <x:f>IF(M81&gt;=O81*1.15,"Physical",IF(O81&gt;=M81*1.15,"Magic","Hybrid"))</x:f>
        <x:v>Physical</x:v>
      </x:c>
      <x:c r="E81" s="28" t="n">
        <x:f>L81</x:f>
        <x:v>50</x:v>
      </x:c>
      <x:c r="F81" s="28" t="n">
        <x:f>ROUND(MAX(20,0.45*O81+0.15*P81+0.05*Q81),0)</x:f>
        <x:v>44</x:v>
      </x:c>
      <x:c r="G81" s="28" t="n">
        <x:f>ROUND(0.8*M81+0.2*O81,0)</x:f>
        <x:v>81</x:v>
      </x:c>
      <x:c r="H81" s="28" t="n">
        <x:f>ROUND(0.65*N81+0.35*P81,0)</x:f>
        <x:v>59</x:v>
      </x:c>
      <x:c r="I81" s="28" t="n">
        <x:f>ROUND(0.65*O81+0.25*P81+0.1*Q81,0)</x:f>
        <x:v>68</x:v>
      </x:c>
      <x:c r="J81" s="28" t="n">
        <x:f>Q81</x:f>
        <x:v>90</x:v>
      </x:c>
      <x:c r="K81" s="28" t="n">
        <x:f>SUM(E81,G81:J81)</x:f>
        <x:v>348</x:v>
      </x:c>
      <x:c r="L81" s="28" t="n">
        <x:v>50</x:v>
      </x:c>
      <x:c r="M81" s="28" t="n">
        <x:v>85</x:v>
      </x:c>
      <x:c r="N81" s="28" t="n">
        <x:v>55</x:v>
      </x:c>
      <x:c r="O81" s="28" t="n">
        <x:v>65</x:v>
      </x:c>
      <x:c r="P81" s="28" t="n">
        <x:v>65</x:v>
      </x:c>
      <x:c r="Q81" s="28" t="n">
        <x:v>90</x:v>
      </x:c>
      <x:c r="R81" s="30" t="str">
        <x:v>Strong SPD/STR; future PATK lean</x:v>
      </x:c>
    </x:row>
    <x:row r="82">
      <x:c r="A82" s="28" t="n">
        <x:v>78</x:v>
      </x:c>
      <x:c r="B82" s="30" t="str">
        <x:v>Rapidash</x:v>
      </x:c>
      <x:c r="C82" s="30" t="str">
        <x:v>Fire</x:v>
      </x:c>
      <x:c r="D82" s="28" t="str">
        <x:f>IF(M82&gt;=O82*1.15,"Physical",IF(O82&gt;=M82*1.15,"Magic","Hybrid"))</x:f>
        <x:v>Physical</x:v>
      </x:c>
      <x:c r="E82" s="28" t="n">
        <x:f>L82</x:f>
        <x:v>65</x:v>
      </x:c>
      <x:c r="F82" s="28" t="n">
        <x:f>ROUND(MAX(20,0.45*O82+0.15*P82+0.05*Q82),0)</x:f>
        <x:v>53</x:v>
      </x:c>
      <x:c r="G82" s="28" t="n">
        <x:f>ROUND(0.8*M82+0.2*O82,0)</x:f>
        <x:v>96</x:v>
      </x:c>
      <x:c r="H82" s="28" t="n">
        <x:f>ROUND(0.65*N82+0.35*P82,0)</x:f>
        <x:v>74</x:v>
      </x:c>
      <x:c r="I82" s="28" t="n">
        <x:f>ROUND(0.65*O82+0.25*P82+0.1*Q82,0)</x:f>
        <x:v>83</x:v>
      </x:c>
      <x:c r="J82" s="28" t="n">
        <x:f>Q82</x:f>
        <x:v>105</x:v>
      </x:c>
      <x:c r="K82" s="28" t="n">
        <x:f>SUM(E82,G82:J82)</x:f>
        <x:v>423</x:v>
      </x:c>
      <x:c r="L82" s="28" t="n">
        <x:v>65</x:v>
      </x:c>
      <x:c r="M82" s="28" t="n">
        <x:v>100</x:v>
      </x:c>
      <x:c r="N82" s="28" t="n">
        <x:v>70</x:v>
      </x:c>
      <x:c r="O82" s="28" t="n">
        <x:v>80</x:v>
      </x:c>
      <x:c r="P82" s="28" t="n">
        <x:v>80</x:v>
      </x:c>
      <x:c r="Q82" s="28" t="n">
        <x:v>105</x:v>
      </x:c>
      <x:c r="R82" s="30" t="str">
        <x:v>Strong SPD/STR; future PATK lean</x:v>
      </x:c>
    </x:row>
    <x:row r="83">
      <x:c r="A83" s="28" t="n">
        <x:v>79</x:v>
      </x:c>
      <x:c r="B83" s="30" t="str">
        <x:v>Slowpoke</x:v>
      </x:c>
      <x:c r="C83" s="30" t="str">
        <x:v>Water / Psychic</x:v>
      </x:c>
      <x:c r="D83" s="28" t="str">
        <x:f>IF(M83&gt;=O83*1.15,"Physical",IF(O83&gt;=M83*1.15,"Magic","Hybrid"))</x:f>
        <x:v>Physical</x:v>
      </x:c>
      <x:c r="E83" s="28" t="n">
        <x:f>L83</x:f>
        <x:v>90</x:v>
      </x:c>
      <x:c r="F83" s="28" t="n">
        <x:f>ROUND(MAX(20,0.45*O83+0.15*P83+0.05*Q83),0)</x:f>
        <x:v>25</x:v>
      </x:c>
      <x:c r="G83" s="28" t="n">
        <x:f>ROUND(0.8*M83+0.2*O83,0)</x:f>
        <x:v>60</x:v>
      </x:c>
      <x:c r="H83" s="28" t="n">
        <x:f>ROUND(0.65*N83+0.35*P83,0)</x:f>
        <x:v>56</x:v>
      </x:c>
      <x:c r="I83" s="28" t="n">
        <x:f>ROUND(0.65*O83+0.25*P83+0.1*Q83,0)</x:f>
        <x:v>38</x:v>
      </x:c>
      <x:c r="J83" s="28" t="n">
        <x:f>Q83</x:f>
        <x:v>15</x:v>
      </x:c>
      <x:c r="K83" s="28" t="n">
        <x:f>SUM(E83,G83:J83)</x:f>
        <x:v>259</x:v>
      </x:c>
      <x:c r="L83" s="28" t="n">
        <x:v>90</x:v>
      </x:c>
      <x:c r="M83" s="28" t="n">
        <x:v>65</x:v>
      </x:c>
      <x:c r="N83" s="28" t="n">
        <x:v>65</x:v>
      </x:c>
      <x:c r="O83" s="28" t="n">
        <x:v>40</x:v>
      </x:c>
      <x:c r="P83" s="28" t="n">
        <x:v>40</x:v>
      </x:c>
      <x:c r="Q83" s="28" t="n">
        <x:v>15</x:v>
      </x:c>
      <x:c r="R83" s="30" t="str">
        <x:v>Strong HP/STR; Low MP; future PATK lean</x:v>
      </x:c>
    </x:row>
    <x:row r="84">
      <x:c r="A84" s="28" t="n">
        <x:v>80</x:v>
      </x:c>
      <x:c r="B84" s="30" t="str">
        <x:v>Slowbro</x:v>
      </x:c>
      <x:c r="C84" s="30" t="str">
        <x:v>Water / Psychic</x:v>
      </x:c>
      <x:c r="D84" s="28" t="str">
        <x:f>IF(M84&gt;=O84*1.15,"Physical",IF(O84&gt;=M84*1.15,"Magic","Hybrid"))</x:f>
        <x:v>Magic</x:v>
      </x:c>
      <x:c r="E84" s="28" t="n">
        <x:f>L84</x:f>
        <x:v>95</x:v>
      </x:c>
      <x:c r="F84" s="28" t="n">
        <x:f>ROUND(MAX(20,0.45*O84+0.15*P84+0.05*Q84),0)</x:f>
        <x:v>59</x:v>
      </x:c>
      <x:c r="G84" s="28" t="n">
        <x:f>ROUND(0.8*M84+0.2*O84,0)</x:f>
        <x:v>80</x:v>
      </x:c>
      <x:c r="H84" s="28" t="n">
        <x:f>ROUND(0.65*N84+0.35*P84,0)</x:f>
        <x:v>100</x:v>
      </x:c>
      <x:c r="I84" s="28" t="n">
        <x:f>ROUND(0.65*O84+0.25*P84+0.1*Q84,0)</x:f>
        <x:v>88</x:v>
      </x:c>
      <x:c r="J84" s="28" t="n">
        <x:f>Q84</x:f>
        <x:v>30</x:v>
      </x:c>
      <x:c r="K84" s="28" t="n">
        <x:f>SUM(E84,G84:J84)</x:f>
        <x:v>393</x:v>
      </x:c>
      <x:c r="L84" s="28" t="n">
        <x:v>95</x:v>
      </x:c>
      <x:c r="M84" s="28" t="n">
        <x:v>75</x:v>
      </x:c>
      <x:c r="N84" s="28" t="n">
        <x:v>110</x:v>
      </x:c>
      <x:c r="O84" s="28" t="n">
        <x:v>100</x:v>
      </x:c>
      <x:c r="P84" s="28" t="n">
        <x:v>80</x:v>
      </x:c>
      <x:c r="Q84" s="28" t="n">
        <x:v>30</x:v>
      </x:c>
      <x:c r="R84" s="30" t="str">
        <x:v>Strong DEF/HP; future MATK lean</x:v>
      </x:c>
    </x:row>
    <x:row r="85">
      <x:c r="A85" s="28" t="n">
        <x:v>81</x:v>
      </x:c>
      <x:c r="B85" s="30" t="str">
        <x:v>Magnemite</x:v>
      </x:c>
      <x:c r="C85" s="30" t="str">
        <x:v>Electric / Steel</x:v>
      </x:c>
      <x:c r="D85" s="28" t="str">
        <x:f>IF(M85&gt;=O85*1.15,"Physical",IF(O85&gt;=M85*1.15,"Magic","Hybrid"))</x:f>
        <x:v>Magic</x:v>
      </x:c>
      <x:c r="E85" s="28" t="n">
        <x:f>L85</x:f>
        <x:v>25</x:v>
      </x:c>
      <x:c r="F85" s="28" t="n">
        <x:f>ROUND(MAX(20,0.45*O85+0.15*P85+0.05*Q85),0)</x:f>
        <x:v>53</x:v>
      </x:c>
      <x:c r="G85" s="28" t="n">
        <x:f>ROUND(0.8*M85+0.2*O85,0)</x:f>
        <x:v>47</x:v>
      </x:c>
      <x:c r="H85" s="28" t="n">
        <x:f>ROUND(0.65*N85+0.35*P85,0)</x:f>
        <x:v>65</x:v>
      </x:c>
      <x:c r="I85" s="28" t="n">
        <x:f>ROUND(0.65*O85+0.25*P85+0.1*Q85,0)</x:f>
        <x:v>80</x:v>
      </x:c>
      <x:c r="J85" s="28" t="n">
        <x:f>Q85</x:f>
        <x:v>45</x:v>
      </x:c>
      <x:c r="K85" s="28" t="n">
        <x:f>SUM(E85,G85:J85)</x:f>
        <x:v>262</x:v>
      </x:c>
      <x:c r="L85" s="28" t="n">
        <x:v>25</x:v>
      </x:c>
      <x:c r="M85" s="28" t="n">
        <x:v>35</x:v>
      </x:c>
      <x:c r="N85" s="28" t="n">
        <x:v>70</x:v>
      </x:c>
      <x:c r="O85" s="28" t="n">
        <x:v>95</x:v>
      </x:c>
      <x:c r="P85" s="28" t="n">
        <x:v>55</x:v>
      </x:c>
      <x:c r="Q85" s="28" t="n">
        <x:v>45</x:v>
      </x:c>
      <x:c r="R85" s="30" t="str">
        <x:v>Strong INT/DEF; future MATK lean</x:v>
      </x:c>
    </x:row>
    <x:row r="86">
      <x:c r="A86" s="28" t="n">
        <x:v>82</x:v>
      </x:c>
      <x:c r="B86" s="30" t="str">
        <x:v>Magneton</x:v>
      </x:c>
      <x:c r="C86" s="30" t="str">
        <x:v>Electric / Steel</x:v>
      </x:c>
      <x:c r="D86" s="28" t="str">
        <x:f>IF(M86&gt;=O86*1.15,"Physical",IF(O86&gt;=M86*1.15,"Magic","Hybrid"))</x:f>
        <x:v>Magic</x:v>
      </x:c>
      <x:c r="E86" s="28" t="n">
        <x:f>L86</x:f>
        <x:v>50</x:v>
      </x:c>
      <x:c r="F86" s="28" t="n">
        <x:f>ROUND(MAX(20,0.45*O86+0.15*P86+0.05*Q86),0)</x:f>
        <x:v>68</x:v>
      </x:c>
      <x:c r="G86" s="28" t="n">
        <x:f>ROUND(0.8*M86+0.2*O86,0)</x:f>
        <x:v>72</x:v>
      </x:c>
      <x:c r="H86" s="28" t="n">
        <x:f>ROUND(0.65*N86+0.35*P86,0)</x:f>
        <x:v>86</x:v>
      </x:c>
      <x:c r="I86" s="28" t="n">
        <x:f>ROUND(0.65*O86+0.25*P86+0.1*Q86,0)</x:f>
        <x:v>103</x:v>
      </x:c>
      <x:c r="J86" s="28" t="n">
        <x:f>Q86</x:f>
        <x:v>70</x:v>
      </x:c>
      <x:c r="K86" s="28" t="n">
        <x:f>SUM(E86,G86:J86)</x:f>
        <x:v>381</x:v>
      </x:c>
      <x:c r="L86" s="28" t="n">
        <x:v>50</x:v>
      </x:c>
      <x:c r="M86" s="28" t="n">
        <x:v>60</x:v>
      </x:c>
      <x:c r="N86" s="28" t="n">
        <x:v>95</x:v>
      </x:c>
      <x:c r="O86" s="28" t="n">
        <x:v>120</x:v>
      </x:c>
      <x:c r="P86" s="28" t="n">
        <x:v>70</x:v>
      </x:c>
      <x:c r="Q86" s="28" t="n">
        <x:v>70</x:v>
      </x:c>
      <x:c r="R86" s="30" t="str">
        <x:v>Strong INT/DEF; High MP; future MATK lean</x:v>
      </x:c>
    </x:row>
    <x:row r="87">
      <x:c r="A87" s="28" t="n">
        <x:v>83</x:v>
      </x:c>
      <x:c r="B87" s="30" t="str">
        <x:v>Farfetchd</x:v>
      </x:c>
      <x:c r="C87" s="30" t="str">
        <x:v>Normal / Flying</x:v>
      </x:c>
      <x:c r="D87" s="28" t="str">
        <x:f>IF(M87&gt;=O87*1.15,"Physical",IF(O87&gt;=M87*1.15,"Magic","Hybrid"))</x:f>
        <x:v>Physical</x:v>
      </x:c>
      <x:c r="E87" s="28" t="n">
        <x:f>L87</x:f>
        <x:v>52</x:v>
      </x:c>
      <x:c r="F87" s="28" t="n">
        <x:f>ROUND(MAX(20,0.45*O87+0.15*P87+0.05*Q87),0)</x:f>
        <x:v>38</x:v>
      </x:c>
      <x:c r="G87" s="28" t="n">
        <x:f>ROUND(0.8*M87+0.2*O87,0)</x:f>
        <x:v>84</x:v>
      </x:c>
      <x:c r="H87" s="28" t="n">
        <x:f>ROUND(0.65*N87+0.35*P87,0)</x:f>
        <x:v>57</x:v>
      </x:c>
      <x:c r="I87" s="28" t="n">
        <x:f>ROUND(0.65*O87+0.25*P87+0.1*Q87,0)</x:f>
        <x:v>59</x:v>
      </x:c>
      <x:c r="J87" s="28" t="n">
        <x:f>Q87</x:f>
        <x:v>60</x:v>
      </x:c>
      <x:c r="K87" s="28" t="n">
        <x:f>SUM(E87,G87:J87)</x:f>
        <x:v>312</x:v>
      </x:c>
      <x:c r="L87" s="28" t="n">
        <x:v>52</x:v>
      </x:c>
      <x:c r="M87" s="28" t="n">
        <x:v>90</x:v>
      </x:c>
      <x:c r="N87" s="28" t="n">
        <x:v>55</x:v>
      </x:c>
      <x:c r="O87" s="28" t="n">
        <x:v>58</x:v>
      </x:c>
      <x:c r="P87" s="28" t="n">
        <x:v>62</x:v>
      </x:c>
      <x:c r="Q87" s="28" t="n">
        <x:v>60</x:v>
      </x:c>
      <x:c r="R87" s="30" t="str">
        <x:v>Strong STR/SPD; future PATK lean</x:v>
      </x:c>
    </x:row>
    <x:row r="88">
      <x:c r="A88" s="28" t="n">
        <x:v>84</x:v>
      </x:c>
      <x:c r="B88" s="30" t="str">
        <x:v>Doduo</x:v>
      </x:c>
      <x:c r="C88" s="30" t="str">
        <x:v>Normal / Flying</x:v>
      </x:c>
      <x:c r="D88" s="28" t="str">
        <x:f>IF(M88&gt;=O88*1.15,"Physical",IF(O88&gt;=M88*1.15,"Magic","Hybrid"))</x:f>
        <x:v>Physical</x:v>
      </x:c>
      <x:c r="E88" s="28" t="n">
        <x:f>L88</x:f>
        <x:v>35</x:v>
      </x:c>
      <x:c r="F88" s="28" t="n">
        <x:f>ROUND(MAX(20,0.45*O88+0.15*P88+0.05*Q88),0)</x:f>
        <x:v>25</x:v>
      </x:c>
      <x:c r="G88" s="28" t="n">
        <x:f>ROUND(0.8*M88+0.2*O88,0)</x:f>
        <x:v>75</x:v>
      </x:c>
      <x:c r="H88" s="28" t="n">
        <x:f>ROUND(0.65*N88+0.35*P88,0)</x:f>
        <x:v>42</x:v>
      </x:c>
      <x:c r="I88" s="28" t="n">
        <x:f>ROUND(0.65*O88+0.25*P88+0.1*Q88,0)</x:f>
        <x:v>39</x:v>
      </x:c>
      <x:c r="J88" s="28" t="n">
        <x:f>Q88</x:f>
        <x:v>75</x:v>
      </x:c>
      <x:c r="K88" s="28" t="n">
        <x:f>SUM(E88,G88:J88)</x:f>
        <x:v>266</x:v>
      </x:c>
      <x:c r="L88" s="28" t="n">
        <x:v>35</x:v>
      </x:c>
      <x:c r="M88" s="28" t="n">
        <x:v>85</x:v>
      </x:c>
      <x:c r="N88" s="28" t="n">
        <x:v>45</x:v>
      </x:c>
      <x:c r="O88" s="28" t="n">
        <x:v>35</x:v>
      </x:c>
      <x:c r="P88" s="28" t="n">
        <x:v>35</x:v>
      </x:c>
      <x:c r="Q88" s="28" t="n">
        <x:v>75</x:v>
      </x:c>
      <x:c r="R88" s="30" t="str">
        <x:v>Strong STR/SPD; future PATK lean</x:v>
      </x:c>
    </x:row>
    <x:row r="89">
      <x:c r="A89" s="28" t="n">
        <x:v>85</x:v>
      </x:c>
      <x:c r="B89" s="30" t="str">
        <x:v>Dodrio</x:v>
      </x:c>
      <x:c r="C89" s="30" t="str">
        <x:v>Normal / Flying</x:v>
      </x:c>
      <x:c r="D89" s="28" t="str">
        <x:f>IF(M89&gt;=O89*1.15,"Physical",IF(O89&gt;=M89*1.15,"Magic","Hybrid"))</x:f>
        <x:v>Physical</x:v>
      </x:c>
      <x:c r="E89" s="28" t="n">
        <x:f>L89</x:f>
        <x:v>60</x:v>
      </x:c>
      <x:c r="F89" s="28" t="n">
        <x:f>ROUND(MAX(20,0.45*O89+0.15*P89+0.05*Q89),0)</x:f>
        <x:v>42</x:v>
      </x:c>
      <x:c r="G89" s="28" t="n">
        <x:f>ROUND(0.8*M89+0.2*O89,0)</x:f>
        <x:v>100</x:v>
      </x:c>
      <x:c r="H89" s="28" t="n">
        <x:f>ROUND(0.65*N89+0.35*P89,0)</x:f>
        <x:v>67</x:v>
      </x:c>
      <x:c r="I89" s="28" t="n">
        <x:f>ROUND(0.65*O89+0.25*P89+0.1*Q89,0)</x:f>
        <x:v>65</x:v>
      </x:c>
      <x:c r="J89" s="28" t="n">
        <x:f>Q89</x:f>
        <x:v>110</x:v>
      </x:c>
      <x:c r="K89" s="28" t="n">
        <x:f>SUM(E89,G89:J89)</x:f>
        <x:v>402</x:v>
      </x:c>
      <x:c r="L89" s="28" t="n">
        <x:v>60</x:v>
      </x:c>
      <x:c r="M89" s="28" t="n">
        <x:v>110</x:v>
      </x:c>
      <x:c r="N89" s="28" t="n">
        <x:v>70</x:v>
      </x:c>
      <x:c r="O89" s="28" t="n">
        <x:v>60</x:v>
      </x:c>
      <x:c r="P89" s="28" t="n">
        <x:v>60</x:v>
      </x:c>
      <x:c r="Q89" s="28" t="n">
        <x:v>110</x:v>
      </x:c>
      <x:c r="R89" s="30" t="str">
        <x:v>Strong SPD/STR; future PATK lean</x:v>
      </x:c>
    </x:row>
    <x:row r="90">
      <x:c r="A90" s="28" t="n">
        <x:v>86</x:v>
      </x:c>
      <x:c r="B90" s="30" t="str">
        <x:v>Seel</x:v>
      </x:c>
      <x:c r="C90" s="30" t="str">
        <x:v>Water</x:v>
      </x:c>
      <x:c r="D90" s="28" t="str">
        <x:f>IF(M90&gt;=O90*1.15,"Physical",IF(O90&gt;=M90*1.15,"Magic","Hybrid"))</x:f>
        <x:v>Hybrid</x:v>
      </x:c>
      <x:c r="E90" s="28" t="n">
        <x:f>L90</x:f>
        <x:v>65</x:v>
      </x:c>
      <x:c r="F90" s="28" t="n">
        <x:f>ROUND(MAX(20,0.45*O90+0.15*P90+0.05*Q90),0)</x:f>
        <x:v>33</x:v>
      </x:c>
      <x:c r="G90" s="28" t="n">
        <x:f>ROUND(0.8*M90+0.2*O90,0)</x:f>
        <x:v>45</x:v>
      </x:c>
      <x:c r="H90" s="28" t="n">
        <x:f>ROUND(0.65*N90+0.35*P90,0)</x:f>
        <x:v>60</x:v>
      </x:c>
      <x:c r="I90" s="28" t="n">
        <x:f>ROUND(0.65*O90+0.25*P90+0.1*Q90,0)</x:f>
        <x:v>51</x:v>
      </x:c>
      <x:c r="J90" s="28" t="n">
        <x:f>Q90</x:f>
        <x:v>45</x:v>
      </x:c>
      <x:c r="K90" s="28" t="n">
        <x:f>SUM(E90,G90:J90)</x:f>
        <x:v>266</x:v>
      </x:c>
      <x:c r="L90" s="28" t="n">
        <x:v>65</x:v>
      </x:c>
      <x:c r="M90" s="28" t="n">
        <x:v>45</x:v>
      </x:c>
      <x:c r="N90" s="28" t="n">
        <x:v>55</x:v>
      </x:c>
      <x:c r="O90" s="28" t="n">
        <x:v>45</x:v>
      </x:c>
      <x:c r="P90" s="28" t="n">
        <x:v>70</x:v>
      </x:c>
      <x:c r="Q90" s="28" t="n">
        <x:v>45</x:v>
      </x:c>
      <x:c r="R90" s="30" t="str">
        <x:v>Strong HP/DEF</x:v>
      </x:c>
    </x:row>
    <x:row r="91">
      <x:c r="A91" s="28" t="n">
        <x:v>87</x:v>
      </x:c>
      <x:c r="B91" s="30" t="str">
        <x:v>Dewgong</x:v>
      </x:c>
      <x:c r="C91" s="30" t="str">
        <x:v>Water / Ice</x:v>
      </x:c>
      <x:c r="D91" s="28" t="str">
        <x:f>IF(M91&gt;=O91*1.15,"Physical",IF(O91&gt;=M91*1.15,"Magic","Hybrid"))</x:f>
        <x:v>Hybrid</x:v>
      </x:c>
      <x:c r="E91" s="28" t="n">
        <x:f>L91</x:f>
        <x:v>90</x:v>
      </x:c>
      <x:c r="F91" s="28" t="n">
        <x:f>ROUND(MAX(20,0.45*O91+0.15*P91+0.05*Q91),0)</x:f>
        <x:v>49</x:v>
      </x:c>
      <x:c r="G91" s="28" t="n">
        <x:f>ROUND(0.8*M91+0.2*O91,0)</x:f>
        <x:v>70</x:v>
      </x:c>
      <x:c r="H91" s="28" t="n">
        <x:f>ROUND(0.65*N91+0.35*P91,0)</x:f>
        <x:v>85</x:v>
      </x:c>
      <x:c r="I91" s="28" t="n">
        <x:f>ROUND(0.65*O91+0.25*P91+0.1*Q91,0)</x:f>
        <x:v>76</x:v>
      </x:c>
      <x:c r="J91" s="28" t="n">
        <x:f>Q91</x:f>
        <x:v>70</x:v>
      </x:c>
      <x:c r="K91" s="28" t="n">
        <x:f>SUM(E91,G91:J91)</x:f>
        <x:v>391</x:v>
      </x:c>
      <x:c r="L91" s="28" t="n">
        <x:v>90</x:v>
      </x:c>
      <x:c r="M91" s="28" t="n">
        <x:v>70</x:v>
      </x:c>
      <x:c r="N91" s="28" t="n">
        <x:v>80</x:v>
      </x:c>
      <x:c r="O91" s="28" t="n">
        <x:v>70</x:v>
      </x:c>
      <x:c r="P91" s="28" t="n">
        <x:v>95</x:v>
      </x:c>
      <x:c r="Q91" s="28" t="n">
        <x:v>70</x:v>
      </x:c>
      <x:c r="R91" s="30" t="str">
        <x:v>Strong HP/DEF</x:v>
      </x:c>
    </x:row>
    <x:row r="92">
      <x:c r="A92" s="28" t="n">
        <x:v>88</x:v>
      </x:c>
      <x:c r="B92" s="30" t="str">
        <x:v>Grimer</x:v>
      </x:c>
      <x:c r="C92" s="30" t="str">
        <x:v>Poison</x:v>
      </x:c>
      <x:c r="D92" s="28" t="str">
        <x:f>IF(M92&gt;=O92*1.15,"Physical",IF(O92&gt;=M92*1.15,"Magic","Hybrid"))</x:f>
        <x:v>Physical</x:v>
      </x:c>
      <x:c r="E92" s="28" t="n">
        <x:f>L92</x:f>
        <x:v>80</x:v>
      </x:c>
      <x:c r="F92" s="28" t="n">
        <x:f>ROUND(MAX(20,0.45*O92+0.15*P92+0.05*Q92),0)</x:f>
        <x:v>27</x:v>
      </x:c>
      <x:c r="G92" s="28" t="n">
        <x:f>ROUND(0.8*M92+0.2*O92,0)</x:f>
        <x:v>72</x:v>
      </x:c>
      <x:c r="H92" s="28" t="n">
        <x:f>ROUND(0.65*N92+0.35*P92,0)</x:f>
        <x:v>50</x:v>
      </x:c>
      <x:c r="I92" s="28" t="n">
        <x:f>ROUND(0.65*O92+0.25*P92+0.1*Q92,0)</x:f>
        <x:v>41</x:v>
      </x:c>
      <x:c r="J92" s="28" t="n">
        <x:f>Q92</x:f>
        <x:v>25</x:v>
      </x:c>
      <x:c r="K92" s="28" t="n">
        <x:f>SUM(E92,G92:J92)</x:f>
        <x:v>268</x:v>
      </x:c>
      <x:c r="L92" s="28" t="n">
        <x:v>80</x:v>
      </x:c>
      <x:c r="M92" s="28" t="n">
        <x:v>80</x:v>
      </x:c>
      <x:c r="N92" s="28" t="n">
        <x:v>50</x:v>
      </x:c>
      <x:c r="O92" s="28" t="n">
        <x:v>40</x:v>
      </x:c>
      <x:c r="P92" s="28" t="n">
        <x:v>50</x:v>
      </x:c>
      <x:c r="Q92" s="28" t="n">
        <x:v>25</x:v>
      </x:c>
      <x:c r="R92" s="30" t="str">
        <x:v>Strong HP/STR; future PATK lean</x:v>
      </x:c>
    </x:row>
    <x:row r="93">
      <x:c r="A93" s="28" t="n">
        <x:v>89</x:v>
      </x:c>
      <x:c r="B93" s="30" t="str">
        <x:v>Muk</x:v>
      </x:c>
      <x:c r="C93" s="30" t="str">
        <x:v>Poison</x:v>
      </x:c>
      <x:c r="D93" s="28" t="str">
        <x:f>IF(M93&gt;=O93*1.15,"Physical",IF(O93&gt;=M93*1.15,"Magic","Hybrid"))</x:f>
        <x:v>Physical</x:v>
      </x:c>
      <x:c r="E93" s="28" t="n">
        <x:f>L93</x:f>
        <x:v>105</x:v>
      </x:c>
      <x:c r="F93" s="28" t="n">
        <x:f>ROUND(MAX(20,0.45*O93+0.15*P93+0.05*Q93),0)</x:f>
        <x:v>47</x:v>
      </x:c>
      <x:c r="G93" s="28" t="n">
        <x:f>ROUND(0.8*M93+0.2*O93,0)</x:f>
        <x:v>97</x:v>
      </x:c>
      <x:c r="H93" s="28" t="n">
        <x:f>ROUND(0.65*N93+0.35*P93,0)</x:f>
        <x:v>84</x:v>
      </x:c>
      <x:c r="I93" s="28" t="n">
        <x:f>ROUND(0.65*O93+0.25*P93+0.1*Q93,0)</x:f>
        <x:v>72</x:v>
      </x:c>
      <x:c r="J93" s="28" t="n">
        <x:f>Q93</x:f>
        <x:v>50</x:v>
      </x:c>
      <x:c r="K93" s="28" t="n">
        <x:f>SUM(E93,G93:J93)</x:f>
        <x:v>408</x:v>
      </x:c>
      <x:c r="L93" s="28" t="n">
        <x:v>105</x:v>
      </x:c>
      <x:c r="M93" s="28" t="n">
        <x:v>105</x:v>
      </x:c>
      <x:c r="N93" s="28" t="n">
        <x:v>75</x:v>
      </x:c>
      <x:c r="O93" s="28" t="n">
        <x:v>65</x:v>
      </x:c>
      <x:c r="P93" s="28" t="n">
        <x:v>100</x:v>
      </x:c>
      <x:c r="Q93" s="28" t="n">
        <x:v>50</x:v>
      </x:c>
      <x:c r="R93" s="30" t="str">
        <x:v>Strong HP/STR; future PATK lean</x:v>
      </x:c>
    </x:row>
    <x:row r="94">
      <x:c r="A94" s="28" t="n">
        <x:v>90</x:v>
      </x:c>
      <x:c r="B94" s="30" t="str">
        <x:v>Shellder</x:v>
      </x:c>
      <x:c r="C94" s="30" t="str">
        <x:v>Water</x:v>
      </x:c>
      <x:c r="D94" s="28" t="str">
        <x:f>IF(M94&gt;=O94*1.15,"Physical",IF(O94&gt;=M94*1.15,"Magic","Hybrid"))</x:f>
        <x:v>Physical</x:v>
      </x:c>
      <x:c r="E94" s="28" t="n">
        <x:f>L94</x:f>
        <x:v>30</x:v>
      </x:c>
      <x:c r="F94" s="28" t="n">
        <x:f>ROUND(MAX(20,0.45*O94+0.15*P94+0.05*Q94),0)</x:f>
        <x:v>26</x:v>
      </x:c>
      <x:c r="G94" s="28" t="n">
        <x:f>ROUND(0.8*M94+0.2*O94,0)</x:f>
        <x:v>61</x:v>
      </x:c>
      <x:c r="H94" s="28" t="n">
        <x:f>ROUND(0.65*N94+0.35*P94,0)</x:f>
        <x:v>74</x:v>
      </x:c>
      <x:c r="I94" s="28" t="n">
        <x:f>ROUND(0.65*O94+0.25*P94+0.1*Q94,0)</x:f>
        <x:v>40</x:v>
      </x:c>
      <x:c r="J94" s="28" t="n">
        <x:f>Q94</x:f>
        <x:v>40</x:v>
      </x:c>
      <x:c r="K94" s="28" t="n">
        <x:f>SUM(E94,G94:J94)</x:f>
        <x:v>245</x:v>
      </x:c>
      <x:c r="L94" s="28" t="n">
        <x:v>30</x:v>
      </x:c>
      <x:c r="M94" s="28" t="n">
        <x:v>65</x:v>
      </x:c>
      <x:c r="N94" s="28" t="n">
        <x:v>100</x:v>
      </x:c>
      <x:c r="O94" s="28" t="n">
        <x:v>45</x:v>
      </x:c>
      <x:c r="P94" s="28" t="n">
        <x:v>25</x:v>
      </x:c>
      <x:c r="Q94" s="28" t="n">
        <x:v>40</x:v>
      </x:c>
      <x:c r="R94" s="30" t="str">
        <x:v>Strong DEF/STR; Low MP; future PATK lean</x:v>
      </x:c>
    </x:row>
    <x:row r="95">
      <x:c r="A95" s="28" t="n">
        <x:v>91</x:v>
      </x:c>
      <x:c r="B95" s="30" t="str">
        <x:v>Cloyster</x:v>
      </x:c>
      <x:c r="C95" s="30" t="str">
        <x:v>Water / Ice</x:v>
      </x:c>
      <x:c r="D95" s="28" t="str">
        <x:f>IF(M95&gt;=O95*1.15,"Physical",IF(O95&gt;=M95*1.15,"Magic","Hybrid"))</x:f>
        <x:v>Hybrid</x:v>
      </x:c>
      <x:c r="E95" s="28" t="n">
        <x:f>L95</x:f>
        <x:v>50</x:v>
      </x:c>
      <x:c r="F95" s="28" t="n">
        <x:f>ROUND(MAX(20,0.45*O95+0.15*P95+0.05*Q95),0)</x:f>
        <x:v>49</x:v>
      </x:c>
      <x:c r="G95" s="28" t="n">
        <x:f>ROUND(0.8*M95+0.2*O95,0)</x:f>
        <x:v>93</x:v>
      </x:c>
      <x:c r="H95" s="28" t="n">
        <x:f>ROUND(0.65*N95+0.35*P95,0)</x:f>
        <x:v>133</x:v>
      </x:c>
      <x:c r="I95" s="28" t="n">
        <x:f>ROUND(0.65*O95+0.25*P95+0.1*Q95,0)</x:f>
        <x:v>74</x:v>
      </x:c>
      <x:c r="J95" s="28" t="n">
        <x:f>Q95</x:f>
        <x:v>70</x:v>
      </x:c>
      <x:c r="K95" s="28" t="n">
        <x:f>SUM(E95,G95:J95)</x:f>
        <x:v>420</x:v>
      </x:c>
      <x:c r="L95" s="28" t="n">
        <x:v>50</x:v>
      </x:c>
      <x:c r="M95" s="28" t="n">
        <x:v>95</x:v>
      </x:c>
      <x:c r="N95" s="28" t="n">
        <x:v>180</x:v>
      </x:c>
      <x:c r="O95" s="28" t="n">
        <x:v>85</x:v>
      </x:c>
      <x:c r="P95" s="28" t="n">
        <x:v>45</x:v>
      </x:c>
      <x:c r="Q95" s="28" t="n">
        <x:v>70</x:v>
      </x:c>
      <x:c r="R95" s="30" t="str">
        <x:v>Strong DEF/STR</x:v>
      </x:c>
    </x:row>
    <x:row r="96">
      <x:c r="A96" s="28" t="n">
        <x:v>92</x:v>
      </x:c>
      <x:c r="B96" s="30" t="str">
        <x:v>Gastly</x:v>
      </x:c>
      <x:c r="C96" s="30" t="str">
        <x:v>Ghost / Poison</x:v>
      </x:c>
      <x:c r="D96" s="28" t="str">
        <x:f>IF(M96&gt;=O96*1.15,"Physical",IF(O96&gt;=M96*1.15,"Magic","Hybrid"))</x:f>
        <x:v>Magic</x:v>
      </x:c>
      <x:c r="E96" s="28" t="n">
        <x:f>L96</x:f>
        <x:v>30</x:v>
      </x:c>
      <x:c r="F96" s="28" t="n">
        <x:f>ROUND(MAX(20,0.45*O96+0.15*P96+0.05*Q96),0)</x:f>
        <x:v>54</x:v>
      </x:c>
      <x:c r="G96" s="28" t="n">
        <x:f>ROUND(0.8*M96+0.2*O96,0)</x:f>
        <x:v>48</x:v>
      </x:c>
      <x:c r="H96" s="28" t="n">
        <x:f>ROUND(0.65*N96+0.35*P96,0)</x:f>
        <x:v>32</x:v>
      </x:c>
      <x:c r="I96" s="28" t="n">
        <x:f>ROUND(0.65*O96+0.25*P96+0.1*Q96,0)</x:f>
        <x:v>82</x:v>
      </x:c>
      <x:c r="J96" s="28" t="n">
        <x:f>Q96</x:f>
        <x:v>80</x:v>
      </x:c>
      <x:c r="K96" s="28" t="n">
        <x:f>SUM(E96,G96:J96)</x:f>
        <x:v>272</x:v>
      </x:c>
      <x:c r="L96" s="28" t="n">
        <x:v>30</x:v>
      </x:c>
      <x:c r="M96" s="28" t="n">
        <x:v>35</x:v>
      </x:c>
      <x:c r="N96" s="28" t="n">
        <x:v>30</x:v>
      </x:c>
      <x:c r="O96" s="28" t="n">
        <x:v>100</x:v>
      </x:c>
      <x:c r="P96" s="28" t="n">
        <x:v>35</x:v>
      </x:c>
      <x:c r="Q96" s="28" t="n">
        <x:v>80</x:v>
      </x:c>
      <x:c r="R96" s="30" t="str">
        <x:v>Strong INT/SPD; future MATK lean</x:v>
      </x:c>
    </x:row>
    <x:row r="97">
      <x:c r="A97" s="28" t="n">
        <x:v>93</x:v>
      </x:c>
      <x:c r="B97" s="30" t="str">
        <x:v>Haunter</x:v>
      </x:c>
      <x:c r="C97" s="30" t="str">
        <x:v>Ghost / Poison</x:v>
      </x:c>
      <x:c r="D97" s="28" t="str">
        <x:f>IF(M97&gt;=O97*1.15,"Physical",IF(O97&gt;=M97*1.15,"Magic","Hybrid"))</x:f>
        <x:v>Magic</x:v>
      </x:c>
      <x:c r="E97" s="28" t="n">
        <x:f>L97</x:f>
        <x:v>45</x:v>
      </x:c>
      <x:c r="F97" s="28" t="n">
        <x:f>ROUND(MAX(20,0.45*O97+0.15*P97+0.05*Q97),0)</x:f>
        <x:v>65</x:v>
      </x:c>
      <x:c r="G97" s="28" t="n">
        <x:f>ROUND(0.8*M97+0.2*O97,0)</x:f>
        <x:v>63</x:v>
      </x:c>
      <x:c r="H97" s="28" t="n">
        <x:f>ROUND(0.65*N97+0.35*P97,0)</x:f>
        <x:v>49</x:v>
      </x:c>
      <x:c r="I97" s="28" t="n">
        <x:f>ROUND(0.65*O97+0.25*P97+0.1*Q97,0)</x:f>
        <x:v>98</x:v>
      </x:c>
      <x:c r="J97" s="28" t="n">
        <x:f>Q97</x:f>
        <x:v>95</x:v>
      </x:c>
      <x:c r="K97" s="28" t="n">
        <x:f>SUM(E97,G97:J97)</x:f>
        <x:v>350</x:v>
      </x:c>
      <x:c r="L97" s="28" t="n">
        <x:v>45</x:v>
      </x:c>
      <x:c r="M97" s="28" t="n">
        <x:v>50</x:v>
      </x:c>
      <x:c r="N97" s="28" t="n">
        <x:v>45</x:v>
      </x:c>
      <x:c r="O97" s="28" t="n">
        <x:v>115</x:v>
      </x:c>
      <x:c r="P97" s="28" t="n">
        <x:v>55</x:v>
      </x:c>
      <x:c r="Q97" s="28" t="n">
        <x:v>95</x:v>
      </x:c>
      <x:c r="R97" s="30" t="str">
        <x:v>Strong INT/SPD; High MP; future MATK lean</x:v>
      </x:c>
    </x:row>
    <x:row r="98">
      <x:c r="A98" s="28" t="n">
        <x:v>94</x:v>
      </x:c>
      <x:c r="B98" s="30" t="str">
        <x:v>Gengar</x:v>
      </x:c>
      <x:c r="C98" s="30" t="str">
        <x:v>Ghost / Poison</x:v>
      </x:c>
      <x:c r="D98" s="28" t="str">
        <x:f>IF(M98&gt;=O98*1.15,"Physical",IF(O98&gt;=M98*1.15,"Magic","Hybrid"))</x:f>
        <x:v>Magic</x:v>
      </x:c>
      <x:c r="E98" s="28" t="n">
        <x:f>L98</x:f>
        <x:v>60</x:v>
      </x:c>
      <x:c r="F98" s="28" t="n">
        <x:f>ROUND(MAX(20,0.45*O98+0.15*P98+0.05*Q98),0)</x:f>
        <x:v>75</x:v>
      </x:c>
      <x:c r="G98" s="28" t="n">
        <x:f>ROUND(0.8*M98+0.2*O98,0)</x:f>
        <x:v>78</x:v>
      </x:c>
      <x:c r="H98" s="28" t="n">
        <x:f>ROUND(0.65*N98+0.35*P98,0)</x:f>
        <x:v>65</x:v>
      </x:c>
      <x:c r="I98" s="28" t="n">
        <x:f>ROUND(0.65*O98+0.25*P98+0.1*Q98,0)</x:f>
        <x:v>114</x:v>
      </x:c>
      <x:c r="J98" s="28" t="n">
        <x:f>Q98</x:f>
        <x:v>110</x:v>
      </x:c>
      <x:c r="K98" s="28" t="n">
        <x:f>SUM(E98,G98:J98)</x:f>
        <x:v>427</x:v>
      </x:c>
      <x:c r="L98" s="28" t="n">
        <x:v>60</x:v>
      </x:c>
      <x:c r="M98" s="28" t="n">
        <x:v>65</x:v>
      </x:c>
      <x:c r="N98" s="28" t="n">
        <x:v>60</x:v>
      </x:c>
      <x:c r="O98" s="28" t="n">
        <x:v>130</x:v>
      </x:c>
      <x:c r="P98" s="28" t="n">
        <x:v>75</x:v>
      </x:c>
      <x:c r="Q98" s="28" t="n">
        <x:v>110</x:v>
      </x:c>
      <x:c r="R98" s="30" t="str">
        <x:v>Strong INT/SPD; High MP; future MATK lean</x:v>
      </x:c>
    </x:row>
    <x:row r="99">
      <x:c r="A99" s="28" t="n">
        <x:v>95</x:v>
      </x:c>
      <x:c r="B99" s="30" t="str">
        <x:v>Onix</x:v>
      </x:c>
      <x:c r="C99" s="30" t="str">
        <x:v>Rock / Ground</x:v>
      </x:c>
      <x:c r="D99" s="28" t="str">
        <x:f>IF(M99&gt;=O99*1.15,"Physical",IF(O99&gt;=M99*1.15,"Magic","Hybrid"))</x:f>
        <x:v>Physical</x:v>
      </x:c>
      <x:c r="E99" s="28" t="n">
        <x:f>L99</x:f>
        <x:v>35</x:v>
      </x:c>
      <x:c r="F99" s="28" t="n">
        <x:f>ROUND(MAX(20,0.45*O99+0.15*P99+0.05*Q99),0)</x:f>
        <x:v>24</x:v>
      </x:c>
      <x:c r="G99" s="28" t="n">
        <x:f>ROUND(0.8*M99+0.2*O99,0)</x:f>
        <x:v>42</x:v>
      </x:c>
      <x:c r="H99" s="28" t="n">
        <x:f>ROUND(0.65*N99+0.35*P99,0)</x:f>
        <x:v>120</x:v>
      </x:c>
      <x:c r="I99" s="28" t="n">
        <x:f>ROUND(0.65*O99+0.25*P99+0.1*Q99,0)</x:f>
        <x:v>38</x:v>
      </x:c>
      <x:c r="J99" s="28" t="n">
        <x:f>Q99</x:f>
        <x:v>70</x:v>
      </x:c>
      <x:c r="K99" s="28" t="n">
        <x:f>SUM(E99,G99:J99)</x:f>
        <x:v>305</x:v>
      </x:c>
      <x:c r="L99" s="28" t="n">
        <x:v>35</x:v>
      </x:c>
      <x:c r="M99" s="28" t="n">
        <x:v>45</x:v>
      </x:c>
      <x:c r="N99" s="28" t="n">
        <x:v>160</x:v>
      </x:c>
      <x:c r="O99" s="28" t="n">
        <x:v>30</x:v>
      </x:c>
      <x:c r="P99" s="28" t="n">
        <x:v>45</x:v>
      </x:c>
      <x:c r="Q99" s="28" t="n">
        <x:v>70</x:v>
      </x:c>
      <x:c r="R99" s="30" t="str">
        <x:v>Strong DEF/SPD; future PATK lean</x:v>
      </x:c>
    </x:row>
    <x:row r="100">
      <x:c r="A100" s="28" t="n">
        <x:v>96</x:v>
      </x:c>
      <x:c r="B100" s="30" t="str">
        <x:v>Drowzee</x:v>
      </x:c>
      <x:c r="C100" s="30" t="str">
        <x:v>Psychic</x:v>
      </x:c>
      <x:c r="D100" s="28" t="str">
        <x:f>IF(M100&gt;=O100*1.15,"Physical",IF(O100&gt;=M100*1.15,"Magic","Hybrid"))</x:f>
        <x:v>Hybrid</x:v>
      </x:c>
      <x:c r="E100" s="28" t="n">
        <x:f>L100</x:f>
        <x:v>60</x:v>
      </x:c>
      <x:c r="F100" s="28" t="n">
        <x:f>ROUND(MAX(20,0.45*O100+0.15*P100+0.05*Q100),0)</x:f>
        <x:v>35</x:v>
      </x:c>
      <x:c r="G100" s="28" t="n">
        <x:f>ROUND(0.8*M100+0.2*O100,0)</x:f>
        <x:v>47</x:v>
      </x:c>
      <x:c r="H100" s="28" t="n">
        <x:f>ROUND(0.65*N100+0.35*P100,0)</x:f>
        <x:v>61</x:v>
      </x:c>
      <x:c r="I100" s="28" t="n">
        <x:f>ROUND(0.65*O100+0.25*P100+0.1*Q100,0)</x:f>
        <x:v>55</x:v>
      </x:c>
      <x:c r="J100" s="28" t="n">
        <x:f>Q100</x:f>
        <x:v>42</x:v>
      </x:c>
      <x:c r="K100" s="28" t="n">
        <x:f>SUM(E100,G100:J100)</x:f>
        <x:v>265</x:v>
      </x:c>
      <x:c r="L100" s="28" t="n">
        <x:v>60</x:v>
      </x:c>
      <x:c r="M100" s="28" t="n">
        <x:v>48</x:v>
      </x:c>
      <x:c r="N100" s="28" t="n">
        <x:v>45</x:v>
      </x:c>
      <x:c r="O100" s="28" t="n">
        <x:v>43</x:v>
      </x:c>
      <x:c r="P100" s="28" t="n">
        <x:v>90</x:v>
      </x:c>
      <x:c r="Q100" s="28" t="n">
        <x:v>42</x:v>
      </x:c>
      <x:c r="R100" s="30" t="str">
        <x:v>Strong DEF/HP</x:v>
      </x:c>
    </x:row>
    <x:row r="101">
      <x:c r="A101" s="28" t="n">
        <x:v>97</x:v>
      </x:c>
      <x:c r="B101" s="30" t="str">
        <x:v>Hypno</x:v>
      </x:c>
      <x:c r="C101" s="30" t="str">
        <x:v>Psychic</x:v>
      </x:c>
      <x:c r="D101" s="28" t="str">
        <x:f>IF(M101&gt;=O101*1.15,"Physical",IF(O101&gt;=M101*1.15,"Magic","Hybrid"))</x:f>
        <x:v>Hybrid</x:v>
      </x:c>
      <x:c r="E101" s="28" t="n">
        <x:f>L101</x:f>
        <x:v>85</x:v>
      </x:c>
      <x:c r="F101" s="28" t="n">
        <x:f>ROUND(MAX(20,0.45*O101+0.15*P101+0.05*Q101),0)</x:f>
        <x:v>53</x:v>
      </x:c>
      <x:c r="G101" s="28" t="n">
        <x:f>ROUND(0.8*M101+0.2*O101,0)</x:f>
        <x:v>73</x:v>
      </x:c>
      <x:c r="H101" s="28" t="n">
        <x:f>ROUND(0.65*N101+0.35*P101,0)</x:f>
        <x:v>86</x:v>
      </x:c>
      <x:c r="I101" s="28" t="n">
        <x:f>ROUND(0.65*O101+0.25*P101+0.1*Q101,0)</x:f>
        <x:v>83</x:v>
      </x:c>
      <x:c r="J101" s="28" t="n">
        <x:f>Q101</x:f>
        <x:v>67</x:v>
      </x:c>
      <x:c r="K101" s="28" t="n">
        <x:f>SUM(E101,G101:J101)</x:f>
        <x:v>394</x:v>
      </x:c>
      <x:c r="L101" s="28" t="n">
        <x:v>85</x:v>
      </x:c>
      <x:c r="M101" s="28" t="n">
        <x:v>73</x:v>
      </x:c>
      <x:c r="N101" s="28" t="n">
        <x:v>70</x:v>
      </x:c>
      <x:c r="O101" s="28" t="n">
        <x:v>73</x:v>
      </x:c>
      <x:c r="P101" s="28" t="n">
        <x:v>115</x:v>
      </x:c>
      <x:c r="Q101" s="28" t="n">
        <x:v>67</x:v>
      </x:c>
      <x:c r="R101" s="30" t="str">
        <x:v>Strong DEF/HP</x:v>
      </x:c>
    </x:row>
    <x:row r="102">
      <x:c r="A102" s="28" t="n">
        <x:v>98</x:v>
      </x:c>
      <x:c r="B102" s="30" t="str">
        <x:v>Krabby</x:v>
      </x:c>
      <x:c r="C102" s="30" t="str">
        <x:v>Water</x:v>
      </x:c>
      <x:c r="D102" s="28" t="str">
        <x:f>IF(M102&gt;=O102*1.15,"Physical",IF(O102&gt;=M102*1.15,"Magic","Hybrid"))</x:f>
        <x:v>Physical</x:v>
      </x:c>
      <x:c r="E102" s="28" t="n">
        <x:f>L102</x:f>
        <x:v>30</x:v>
      </x:c>
      <x:c r="F102" s="28" t="n">
        <x:f>ROUND(MAX(20,0.45*O102+0.15*P102+0.05*Q102),0)</x:f>
        <x:v>20</x:v>
      </x:c>
      <x:c r="G102" s="28" t="n">
        <x:f>ROUND(0.8*M102+0.2*O102,0)</x:f>
        <x:v>89</x:v>
      </x:c>
      <x:c r="H102" s="28" t="n">
        <x:f>ROUND(0.65*N102+0.35*P102,0)</x:f>
        <x:v>67</x:v>
      </x:c>
      <x:c r="I102" s="28" t="n">
        <x:f>ROUND(0.65*O102+0.25*P102+0.1*Q102,0)</x:f>
        <x:v>28</x:v>
      </x:c>
      <x:c r="J102" s="28" t="n">
        <x:f>Q102</x:f>
        <x:v>50</x:v>
      </x:c>
      <x:c r="K102" s="28" t="n">
        <x:f>SUM(E102,G102:J102)</x:f>
        <x:v>264</x:v>
      </x:c>
      <x:c r="L102" s="28" t="n">
        <x:v>30</x:v>
      </x:c>
      <x:c r="M102" s="28" t="n">
        <x:v>105</x:v>
      </x:c>
      <x:c r="N102" s="28" t="n">
        <x:v>90</x:v>
      </x:c>
      <x:c r="O102" s="28" t="n">
        <x:v>25</x:v>
      </x:c>
      <x:c r="P102" s="28" t="n">
        <x:v>25</x:v>
      </x:c>
      <x:c r="Q102" s="28" t="n">
        <x:v>50</x:v>
      </x:c>
      <x:c r="R102" s="30" t="str">
        <x:v>Strong STR/DEF; Low MP; future PATK lean</x:v>
      </x:c>
    </x:row>
    <x:row r="103">
      <x:c r="A103" s="28" t="n">
        <x:v>99</x:v>
      </x:c>
      <x:c r="B103" s="30" t="str">
        <x:v>Kingler</x:v>
      </x:c>
      <x:c r="C103" s="30" t="str">
        <x:v>Water</x:v>
      </x:c>
      <x:c r="D103" s="28" t="str">
        <x:f>IF(M103&gt;=O103*1.15,"Physical",IF(O103&gt;=M103*1.15,"Magic","Hybrid"))</x:f>
        <x:v>Physical</x:v>
      </x:c>
      <x:c r="E103" s="28" t="n">
        <x:f>L103</x:f>
        <x:v>55</x:v>
      </x:c>
      <x:c r="F103" s="28" t="n">
        <x:f>ROUND(MAX(20,0.45*O103+0.15*P103+0.05*Q103),0)</x:f>
        <x:v>34</x:v>
      </x:c>
      <x:c r="G103" s="28" t="n">
        <x:f>ROUND(0.8*M103+0.2*O103,0)</x:f>
        <x:v>114</x:v>
      </x:c>
      <x:c r="H103" s="28" t="n">
        <x:f>ROUND(0.65*N103+0.35*P103,0)</x:f>
        <x:v>92</x:v>
      </x:c>
      <x:c r="I103" s="28" t="n">
        <x:f>ROUND(0.65*O103+0.25*P103+0.1*Q103,0)</x:f>
        <x:v>53</x:v>
      </x:c>
      <x:c r="J103" s="28" t="n">
        <x:f>Q103</x:f>
        <x:v>75</x:v>
      </x:c>
      <x:c r="K103" s="28" t="n">
        <x:f>SUM(E103,G103:J103)</x:f>
        <x:v>389</x:v>
      </x:c>
      <x:c r="L103" s="28" t="n">
        <x:v>55</x:v>
      </x:c>
      <x:c r="M103" s="28" t="n">
        <x:v>130</x:v>
      </x:c>
      <x:c r="N103" s="28" t="n">
        <x:v>115</x:v>
      </x:c>
      <x:c r="O103" s="28" t="n">
        <x:v>50</x:v>
      </x:c>
      <x:c r="P103" s="28" t="n">
        <x:v>50</x:v>
      </x:c>
      <x:c r="Q103" s="28" t="n">
        <x:v>75</x:v>
      </x:c>
      <x:c r="R103" s="30" t="str">
        <x:v>Strong STR/DEF; future PATK lean</x:v>
      </x:c>
    </x:row>
    <x:row r="104">
      <x:c r="A104" s="28" t="n">
        <x:v>100</x:v>
      </x:c>
      <x:c r="B104" s="30" t="str">
        <x:v>Voltorb</x:v>
      </x:c>
      <x:c r="C104" s="30" t="str">
        <x:v>Electric</x:v>
      </x:c>
      <x:c r="D104" s="28" t="str">
        <x:f>IF(M104&gt;=O104*1.15,"Physical",IF(O104&gt;=M104*1.15,"Magic","Hybrid"))</x:f>
        <x:v>Magic</x:v>
      </x:c>
      <x:c r="E104" s="28" t="n">
        <x:f>L104</x:f>
        <x:v>40</x:v>
      </x:c>
      <x:c r="F104" s="28" t="n">
        <x:f>ROUND(MAX(20,0.45*O104+0.15*P104+0.05*Q104),0)</x:f>
        <x:v>38</x:v>
      </x:c>
      <x:c r="G104" s="28" t="n">
        <x:f>ROUND(0.8*M104+0.2*O104,0)</x:f>
        <x:v>35</x:v>
      </x:c>
      <x:c r="H104" s="28" t="n">
        <x:f>ROUND(0.65*N104+0.35*P104,0)</x:f>
        <x:v>52</x:v>
      </x:c>
      <x:c r="I104" s="28" t="n">
        <x:f>ROUND(0.65*O104+0.25*P104+0.1*Q104,0)</x:f>
        <x:v>60</x:v>
      </x:c>
      <x:c r="J104" s="28" t="n">
        <x:f>Q104</x:f>
        <x:v>100</x:v>
      </x:c>
      <x:c r="K104" s="28" t="n">
        <x:f>SUM(E104,G104:J104)</x:f>
        <x:v>287</x:v>
      </x:c>
      <x:c r="L104" s="28" t="n">
        <x:v>40</x:v>
      </x:c>
      <x:c r="M104" s="28" t="n">
        <x:v>30</x:v>
      </x:c>
      <x:c r="N104" s="28" t="n">
        <x:v>50</x:v>
      </x:c>
      <x:c r="O104" s="28" t="n">
        <x:v>55</x:v>
      </x:c>
      <x:c r="P104" s="28" t="n">
        <x:v>55</x:v>
      </x:c>
      <x:c r="Q104" s="28" t="n">
        <x:v>100</x:v>
      </x:c>
      <x:c r="R104" s="30" t="str">
        <x:v>Strong SPD/INT; future MATK lean</x:v>
      </x:c>
    </x:row>
    <x:row r="105">
      <x:c r="A105" s="28" t="n">
        <x:v>101</x:v>
      </x:c>
      <x:c r="B105" s="30" t="str">
        <x:v>Electrode</x:v>
      </x:c>
      <x:c r="C105" s="30" t="str">
        <x:v>Electric</x:v>
      </x:c>
      <x:c r="D105" s="28" t="str">
        <x:f>IF(M105&gt;=O105*1.15,"Physical",IF(O105&gt;=M105*1.15,"Magic","Hybrid"))</x:f>
        <x:v>Magic</x:v>
      </x:c>
      <x:c r="E105" s="28" t="n">
        <x:f>L105</x:f>
        <x:v>60</x:v>
      </x:c>
      <x:c r="F105" s="28" t="n">
        <x:f>ROUND(MAX(20,0.45*O105+0.15*P105+0.05*Q105),0)</x:f>
        <x:v>56</x:v>
      </x:c>
      <x:c r="G105" s="28" t="n">
        <x:f>ROUND(0.8*M105+0.2*O105,0)</x:f>
        <x:v>56</x:v>
      </x:c>
      <x:c r="H105" s="28" t="n">
        <x:f>ROUND(0.65*N105+0.35*P105,0)</x:f>
        <x:v>74</x:v>
      </x:c>
      <x:c r="I105" s="28" t="n">
        <x:f>ROUND(0.65*O105+0.25*P105+0.1*Q105,0)</x:f>
        <x:v>87</x:v>
      </x:c>
      <x:c r="J105" s="28" t="n">
        <x:f>Q105</x:f>
        <x:v>150</x:v>
      </x:c>
      <x:c r="K105" s="28" t="n">
        <x:f>SUM(E105,G105:J105)</x:f>
        <x:v>427</x:v>
      </x:c>
      <x:c r="L105" s="28" t="n">
        <x:v>60</x:v>
      </x:c>
      <x:c r="M105" s="28" t="n">
        <x:v>50</x:v>
      </x:c>
      <x:c r="N105" s="28" t="n">
        <x:v>70</x:v>
      </x:c>
      <x:c r="O105" s="28" t="n">
        <x:v>80</x:v>
      </x:c>
      <x:c r="P105" s="28" t="n">
        <x:v>80</x:v>
      </x:c>
      <x:c r="Q105" s="28" t="n">
        <x:v>150</x:v>
      </x:c>
      <x:c r="R105" s="30" t="str">
        <x:v>Strong SPD/INT; High MP; future MATK lean</x:v>
      </x:c>
    </x:row>
    <x:row r="106">
      <x:c r="A106" s="28" t="n">
        <x:v>102</x:v>
      </x:c>
      <x:c r="B106" s="30" t="str">
        <x:v>Exeggcute</x:v>
      </x:c>
      <x:c r="C106" s="30" t="str">
        <x:v>Grass / Psychic</x:v>
      </x:c>
      <x:c r="D106" s="28" t="str">
        <x:f>IF(M106&gt;=O106*1.15,"Physical",IF(O106&gt;=M106*1.15,"Magic","Hybrid"))</x:f>
        <x:v>Magic</x:v>
      </x:c>
      <x:c r="E106" s="28" t="n">
        <x:f>L106</x:f>
        <x:v>60</x:v>
      </x:c>
      <x:c r="F106" s="28" t="n">
        <x:f>ROUND(MAX(20,0.45*O106+0.15*P106+0.05*Q106),0)</x:f>
        <x:v>36</x:v>
      </x:c>
      <x:c r="G106" s="28" t="n">
        <x:f>ROUND(0.8*M106+0.2*O106,0)</x:f>
        <x:v>44</x:v>
      </x:c>
      <x:c r="H106" s="28" t="n">
        <x:f>ROUND(0.65*N106+0.35*P106,0)</x:f>
        <x:v>68</x:v>
      </x:c>
      <x:c r="I106" s="28" t="n">
        <x:f>ROUND(0.65*O106+0.25*P106+0.1*Q106,0)</x:f>
        <x:v>54</x:v>
      </x:c>
      <x:c r="J106" s="28" t="n">
        <x:f>Q106</x:f>
        <x:v>40</x:v>
      </x:c>
      <x:c r="K106" s="28" t="n">
        <x:f>SUM(E106,G106:J106)</x:f>
        <x:v>266</x:v>
      </x:c>
      <x:c r="L106" s="28" t="n">
        <x:v>60</x:v>
      </x:c>
      <x:c r="M106" s="28" t="n">
        <x:v>40</x:v>
      </x:c>
      <x:c r="N106" s="28" t="n">
        <x:v>80</x:v>
      </x:c>
      <x:c r="O106" s="28" t="n">
        <x:v>60</x:v>
      </x:c>
      <x:c r="P106" s="28" t="n">
        <x:v>45</x:v>
      </x:c>
      <x:c r="Q106" s="28" t="n">
        <x:v>40</x:v>
      </x:c>
      <x:c r="R106" s="30" t="str">
        <x:v>Strong DEF/HP; future MATK lean</x:v>
      </x:c>
    </x:row>
    <x:row r="107">
      <x:c r="A107" s="28" t="n">
        <x:v>103</x:v>
      </x:c>
      <x:c r="B107" s="30" t="str">
        <x:v>Exeggutor</x:v>
      </x:c>
      <x:c r="C107" s="30" t="str">
        <x:v>Grass / Psychic</x:v>
      </x:c>
      <x:c r="D107" s="28" t="str">
        <x:f>IF(M107&gt;=O107*1.15,"Physical",IF(O107&gt;=M107*1.15,"Magic","Hybrid"))</x:f>
        <x:v>Magic</x:v>
      </x:c>
      <x:c r="E107" s="28" t="n">
        <x:f>L107</x:f>
        <x:v>95</x:v>
      </x:c>
      <x:c r="F107" s="28" t="n">
        <x:f>ROUND(MAX(20,0.45*O107+0.15*P107+0.05*Q107),0)</x:f>
        <x:v>70</x:v>
      </x:c>
      <x:c r="G107" s="28" t="n">
        <x:f>ROUND(0.8*M107+0.2*O107,0)</x:f>
        <x:v>101</x:v>
      </x:c>
      <x:c r="H107" s="28" t="n">
        <x:f>ROUND(0.65*N107+0.35*P107,0)</x:f>
        <x:v>82</x:v>
      </x:c>
      <x:c r="I107" s="28" t="n">
        <x:f>ROUND(0.65*O107+0.25*P107+0.1*Q107,0)</x:f>
        <x:v>106</x:v>
      </x:c>
      <x:c r="J107" s="28" t="n">
        <x:f>Q107</x:f>
        <x:v>55</x:v>
      </x:c>
      <x:c r="K107" s="28" t="n">
        <x:f>SUM(E107,G107:J107)</x:f>
        <x:v>439</x:v>
      </x:c>
      <x:c r="L107" s="28" t="n">
        <x:v>95</x:v>
      </x:c>
      <x:c r="M107" s="28" t="n">
        <x:v>95</x:v>
      </x:c>
      <x:c r="N107" s="28" t="n">
        <x:v>85</x:v>
      </x:c>
      <x:c r="O107" s="28" t="n">
        <x:v>125</x:v>
      </x:c>
      <x:c r="P107" s="28" t="n">
        <x:v>75</x:v>
      </x:c>
      <x:c r="Q107" s="28" t="n">
        <x:v>55</x:v>
      </x:c>
      <x:c r="R107" s="30" t="str">
        <x:v>Strong INT/STR; High MP; future MATK lean</x:v>
      </x:c>
    </x:row>
    <x:row r="108">
      <x:c r="A108" s="28" t="n">
        <x:v>104</x:v>
      </x:c>
      <x:c r="B108" s="30" t="str">
        <x:v>Cubone</x:v>
      </x:c>
      <x:c r="C108" s="30" t="str">
        <x:v>Ground</x:v>
      </x:c>
      <x:c r="D108" s="28" t="str">
        <x:f>IF(M108&gt;=O108*1.15,"Physical",IF(O108&gt;=M108*1.15,"Magic","Hybrid"))</x:f>
        <x:v>Physical</x:v>
      </x:c>
      <x:c r="E108" s="28" t="n">
        <x:f>L108</x:f>
        <x:v>50</x:v>
      </x:c>
      <x:c r="F108" s="28" t="n">
        <x:f>ROUND(MAX(20,0.45*O108+0.15*P108+0.05*Q108),0)</x:f>
        <x:v>27</x:v>
      </x:c>
      <x:c r="G108" s="28" t="n">
        <x:f>ROUND(0.8*M108+0.2*O108,0)</x:f>
        <x:v>48</x:v>
      </x:c>
      <x:c r="H108" s="28" t="n">
        <x:f>ROUND(0.65*N108+0.35*P108,0)</x:f>
        <x:v>79</x:v>
      </x:c>
      <x:c r="I108" s="28" t="n">
        <x:f>ROUND(0.65*O108+0.25*P108+0.1*Q108,0)</x:f>
        <x:v>42</x:v>
      </x:c>
      <x:c r="J108" s="28" t="n">
        <x:f>Q108</x:f>
        <x:v>35</x:v>
      </x:c>
      <x:c r="K108" s="28" t="n">
        <x:f>SUM(E108,G108:J108)</x:f>
        <x:v>254</x:v>
      </x:c>
      <x:c r="L108" s="28" t="n">
        <x:v>50</x:v>
      </x:c>
      <x:c r="M108" s="28" t="n">
        <x:v>50</x:v>
      </x:c>
      <x:c r="N108" s="28" t="n">
        <x:v>95</x:v>
      </x:c>
      <x:c r="O108" s="28" t="n">
        <x:v>40</x:v>
      </x:c>
      <x:c r="P108" s="28" t="n">
        <x:v>50</x:v>
      </x:c>
      <x:c r="Q108" s="28" t="n">
        <x:v>35</x:v>
      </x:c>
      <x:c r="R108" s="30" t="str">
        <x:v>Strong DEF/HP; future PATK lean</x:v>
      </x:c>
    </x:row>
    <x:row r="109">
      <x:c r="A109" s="28" t="n">
        <x:v>105</x:v>
      </x:c>
      <x:c r="B109" s="30" t="str">
        <x:v>Marowak</x:v>
      </x:c>
      <x:c r="C109" s="30" t="str">
        <x:v>Ground</x:v>
      </x:c>
      <x:c r="D109" s="28" t="str">
        <x:f>IF(M109&gt;=O109*1.15,"Physical",IF(O109&gt;=M109*1.15,"Magic","Hybrid"))</x:f>
        <x:v>Physical</x:v>
      </x:c>
      <x:c r="E109" s="28" t="n">
        <x:f>L109</x:f>
        <x:v>60</x:v>
      </x:c>
      <x:c r="F109" s="28" t="n">
        <x:f>ROUND(MAX(20,0.45*O109+0.15*P109+0.05*Q109),0)</x:f>
        <x:v>37</x:v>
      </x:c>
      <x:c r="G109" s="28" t="n">
        <x:f>ROUND(0.8*M109+0.2*O109,0)</x:f>
        <x:v>74</x:v>
      </x:c>
      <x:c r="H109" s="28" t="n">
        <x:f>ROUND(0.65*N109+0.35*P109,0)</x:f>
        <x:v>100</x:v>
      </x:c>
      <x:c r="I109" s="28" t="n">
        <x:f>ROUND(0.65*O109+0.25*P109+0.1*Q109,0)</x:f>
        <x:v>57</x:v>
      </x:c>
      <x:c r="J109" s="28" t="n">
        <x:f>Q109</x:f>
        <x:v>45</x:v>
      </x:c>
      <x:c r="K109" s="28" t="n">
        <x:f>SUM(E109,G109:J109)</x:f>
        <x:v>336</x:v>
      </x:c>
      <x:c r="L109" s="28" t="n">
        <x:v>60</x:v>
      </x:c>
      <x:c r="M109" s="28" t="n">
        <x:v>80</x:v>
      </x:c>
      <x:c r="N109" s="28" t="n">
        <x:v>110</x:v>
      </x:c>
      <x:c r="O109" s="28" t="n">
        <x:v>50</x:v>
      </x:c>
      <x:c r="P109" s="28" t="n">
        <x:v>80</x:v>
      </x:c>
      <x:c r="Q109" s="28" t="n">
        <x:v>45</x:v>
      </x:c>
      <x:c r="R109" s="30" t="str">
        <x:v>Strong DEF/STR; future PATK lean</x:v>
      </x:c>
    </x:row>
    <x:row r="110">
      <x:c r="A110" s="28" t="n">
        <x:v>106</x:v>
      </x:c>
      <x:c r="B110" s="30" t="str">
        <x:v>Hitmonlee</x:v>
      </x:c>
      <x:c r="C110" s="30" t="str">
        <x:v>Fighting</x:v>
      </x:c>
      <x:c r="D110" s="28" t="str">
        <x:f>IF(M110&gt;=O110*1.15,"Physical",IF(O110&gt;=M110*1.15,"Magic","Hybrid"))</x:f>
        <x:v>Physical</x:v>
      </x:c>
      <x:c r="E110" s="28" t="n">
        <x:f>L110</x:f>
        <x:v>50</x:v>
      </x:c>
      <x:c r="F110" s="28" t="n">
        <x:f>ROUND(MAX(20,0.45*O110+0.15*P110+0.05*Q110),0)</x:f>
        <x:v>37</x:v>
      </x:c>
      <x:c r="G110" s="28" t="n">
        <x:f>ROUND(0.8*M110+0.2*O110,0)</x:f>
        <x:v>103</x:v>
      </x:c>
      <x:c r="H110" s="28" t="n">
        <x:f>ROUND(0.65*N110+0.35*P110,0)</x:f>
        <x:v>73</x:v>
      </x:c>
      <x:c r="I110" s="28" t="n">
        <x:f>ROUND(0.65*O110+0.25*P110+0.1*Q110,0)</x:f>
        <x:v>59</x:v>
      </x:c>
      <x:c r="J110" s="28" t="n">
        <x:f>Q110</x:f>
        <x:v>87</x:v>
      </x:c>
      <x:c r="K110" s="28" t="n">
        <x:f>SUM(E110,G110:J110)</x:f>
        <x:v>372</x:v>
      </x:c>
      <x:c r="L110" s="28" t="n">
        <x:v>50</x:v>
      </x:c>
      <x:c r="M110" s="28" t="n">
        <x:v>120</x:v>
      </x:c>
      <x:c r="N110" s="28" t="n">
        <x:v>53</x:v>
      </x:c>
      <x:c r="O110" s="28" t="n">
        <x:v>35</x:v>
      </x:c>
      <x:c r="P110" s="28" t="n">
        <x:v>110</x:v>
      </x:c>
      <x:c r="Q110" s="28" t="n">
        <x:v>87</x:v>
      </x:c>
      <x:c r="R110" s="30" t="str">
        <x:v>Strong STR/SPD; future PATK lean</x:v>
      </x:c>
    </x:row>
    <x:row r="111">
      <x:c r="A111" s="28" t="n">
        <x:v>107</x:v>
      </x:c>
      <x:c r="B111" s="30" t="str">
        <x:v>Hitmonchan</x:v>
      </x:c>
      <x:c r="C111" s="30" t="str">
        <x:v>Fighting</x:v>
      </x:c>
      <x:c r="D111" s="28" t="str">
        <x:f>IF(M111&gt;=O111*1.15,"Physical",IF(O111&gt;=M111*1.15,"Magic","Hybrid"))</x:f>
        <x:v>Physical</x:v>
      </x:c>
      <x:c r="E111" s="28" t="n">
        <x:f>L111</x:f>
        <x:v>50</x:v>
      </x:c>
      <x:c r="F111" s="28" t="n">
        <x:f>ROUND(MAX(20,0.45*O111+0.15*P111+0.05*Q111),0)</x:f>
        <x:v>36</x:v>
      </x:c>
      <x:c r="G111" s="28" t="n">
        <x:f>ROUND(0.8*M111+0.2*O111,0)</x:f>
        <x:v>91</x:v>
      </x:c>
      <x:c r="H111" s="28" t="n">
        <x:f>ROUND(0.65*N111+0.35*P111,0)</x:f>
        <x:v>90</x:v>
      </x:c>
      <x:c r="I111" s="28" t="n">
        <x:f>ROUND(0.65*O111+0.25*P111+0.1*Q111,0)</x:f>
        <x:v>58</x:v>
      </x:c>
      <x:c r="J111" s="28" t="n">
        <x:f>Q111</x:f>
        <x:v>76</x:v>
      </x:c>
      <x:c r="K111" s="28" t="n">
        <x:f>SUM(E111,G111:J111)</x:f>
        <x:v>365</x:v>
      </x:c>
      <x:c r="L111" s="28" t="n">
        <x:v>50</x:v>
      </x:c>
      <x:c r="M111" s="28" t="n">
        <x:v>105</x:v>
      </x:c>
      <x:c r="N111" s="28" t="n">
        <x:v>79</x:v>
      </x:c>
      <x:c r="O111" s="28" t="n">
        <x:v>35</x:v>
      </x:c>
      <x:c r="P111" s="28" t="n">
        <x:v>110</x:v>
      </x:c>
      <x:c r="Q111" s="28" t="n">
        <x:v>76</x:v>
      </x:c>
      <x:c r="R111" s="30" t="str">
        <x:v>Strong STR/DEF; future PATK lean</x:v>
      </x:c>
    </x:row>
    <x:row r="112">
      <x:c r="A112" s="28" t="n">
        <x:v>108</x:v>
      </x:c>
      <x:c r="B112" s="30" t="str">
        <x:v>Lickitung</x:v>
      </x:c>
      <x:c r="C112" s="30" t="str">
        <x:v>Normal</x:v>
      </x:c>
      <x:c r="D112" s="28" t="str">
        <x:f>IF(M112&gt;=O112*1.15,"Physical",IF(O112&gt;=M112*1.15,"Magic","Hybrid"))</x:f>
        <x:v>Hybrid</x:v>
      </x:c>
      <x:c r="E112" s="28" t="n">
        <x:f>L112</x:f>
        <x:v>90</x:v>
      </x:c>
      <x:c r="F112" s="28" t="n">
        <x:f>ROUND(MAX(20,0.45*O112+0.15*P112+0.05*Q112),0)</x:f>
        <x:v>40</x:v>
      </x:c>
      <x:c r="G112" s="28" t="n">
        <x:f>ROUND(0.8*M112+0.2*O112,0)</x:f>
        <x:v>56</x:v>
      </x:c>
      <x:c r="H112" s="28" t="n">
        <x:f>ROUND(0.65*N112+0.35*P112,0)</x:f>
        <x:v>75</x:v>
      </x:c>
      <x:c r="I112" s="28" t="n">
        <x:f>ROUND(0.65*O112+0.25*P112+0.1*Q112,0)</x:f>
        <x:v>61</x:v>
      </x:c>
      <x:c r="J112" s="28" t="n">
        <x:f>Q112</x:f>
        <x:v>30</x:v>
      </x:c>
      <x:c r="K112" s="28" t="n">
        <x:f>SUM(E112,G112:J112)</x:f>
        <x:v>312</x:v>
      </x:c>
      <x:c r="L112" s="28" t="n">
        <x:v>90</x:v>
      </x:c>
      <x:c r="M112" s="28" t="n">
        <x:v>55</x:v>
      </x:c>
      <x:c r="N112" s="28" t="n">
        <x:v>75</x:v>
      </x:c>
      <x:c r="O112" s="28" t="n">
        <x:v>60</x:v>
      </x:c>
      <x:c r="P112" s="28" t="n">
        <x:v>75</x:v>
      </x:c>
      <x:c r="Q112" s="28" t="n">
        <x:v>30</x:v>
      </x:c>
      <x:c r="R112" s="30" t="str">
        <x:v>Strong HP/DEF</x:v>
      </x:c>
    </x:row>
    <x:row r="113">
      <x:c r="A113" s="28" t="n">
        <x:v>109</x:v>
      </x:c>
      <x:c r="B113" s="30" t="str">
        <x:v>Koffing</x:v>
      </x:c>
      <x:c r="C113" s="30" t="str">
        <x:v>Poison</x:v>
      </x:c>
      <x:c r="D113" s="28" t="str">
        <x:f>IF(M113&gt;=O113*1.15,"Physical",IF(O113&gt;=M113*1.15,"Magic","Hybrid"))</x:f>
        <x:v>Hybrid</x:v>
      </x:c>
      <x:c r="E113" s="28" t="n">
        <x:f>L113</x:f>
        <x:v>40</x:v>
      </x:c>
      <x:c r="F113" s="28" t="n">
        <x:f>ROUND(MAX(20,0.45*O113+0.15*P113+0.05*Q113),0)</x:f>
        <x:v>36</x:v>
      </x:c>
      <x:c r="G113" s="28" t="n">
        <x:f>ROUND(0.8*M113+0.2*O113,0)</x:f>
        <x:v>64</x:v>
      </x:c>
      <x:c r="H113" s="28" t="n">
        <x:f>ROUND(0.65*N113+0.35*P113,0)</x:f>
        <x:v>78</x:v>
      </x:c>
      <x:c r="I113" s="28" t="n">
        <x:f>ROUND(0.65*O113+0.25*P113+0.1*Q113,0)</x:f>
        <x:v>54</x:v>
      </x:c>
      <x:c r="J113" s="28" t="n">
        <x:f>Q113</x:f>
        <x:v>35</x:v>
      </x:c>
      <x:c r="K113" s="28" t="n">
        <x:f>SUM(E113,G113:J113)</x:f>
        <x:v>271</x:v>
      </x:c>
      <x:c r="L113" s="28" t="n">
        <x:v>40</x:v>
      </x:c>
      <x:c r="M113" s="28" t="n">
        <x:v>65</x:v>
      </x:c>
      <x:c r="N113" s="28" t="n">
        <x:v>95</x:v>
      </x:c>
      <x:c r="O113" s="28" t="n">
        <x:v>60</x:v>
      </x:c>
      <x:c r="P113" s="28" t="n">
        <x:v>45</x:v>
      </x:c>
      <x:c r="Q113" s="28" t="n">
        <x:v>35</x:v>
      </x:c>
      <x:c r="R113" s="30" t="str">
        <x:v>Strong DEF/STR</x:v>
      </x:c>
    </x:row>
    <x:row r="114">
      <x:c r="A114" s="28" t="n">
        <x:v>110</x:v>
      </x:c>
      <x:c r="B114" s="30" t="str">
        <x:v>Weezing</x:v>
      </x:c>
      <x:c r="C114" s="30" t="str">
        <x:v>Poison</x:v>
      </x:c>
      <x:c r="D114" s="28" t="str">
        <x:f>IF(M114&gt;=O114*1.15,"Physical",IF(O114&gt;=M114*1.15,"Magic","Hybrid"))</x:f>
        <x:v>Hybrid</x:v>
      </x:c>
      <x:c r="E114" s="28" t="n">
        <x:f>L114</x:f>
        <x:v>65</x:v>
      </x:c>
      <x:c r="F114" s="28" t="n">
        <x:f>ROUND(MAX(20,0.45*O114+0.15*P114+0.05*Q114),0)</x:f>
        <x:v>52</x:v>
      </x:c>
      <x:c r="G114" s="28" t="n">
        <x:f>ROUND(0.8*M114+0.2*O114,0)</x:f>
        <x:v>89</x:v>
      </x:c>
      <x:c r="H114" s="28" t="n">
        <x:f>ROUND(0.65*N114+0.35*P114,0)</x:f>
        <x:v>103</x:v>
      </x:c>
      <x:c r="I114" s="28" t="n">
        <x:f>ROUND(0.65*O114+0.25*P114+0.1*Q114,0)</x:f>
        <x:v>79</x:v>
      </x:c>
      <x:c r="J114" s="28" t="n">
        <x:f>Q114</x:f>
        <x:v>60</x:v>
      </x:c>
      <x:c r="K114" s="28" t="n">
        <x:f>SUM(E114,G114:J114)</x:f>
        <x:v>396</x:v>
      </x:c>
      <x:c r="L114" s="28" t="n">
        <x:v>65</x:v>
      </x:c>
      <x:c r="M114" s="28" t="n">
        <x:v>90</x:v>
      </x:c>
      <x:c r="N114" s="28" t="n">
        <x:v>120</x:v>
      </x:c>
      <x:c r="O114" s="28" t="n">
        <x:v>85</x:v>
      </x:c>
      <x:c r="P114" s="28" t="n">
        <x:v>70</x:v>
      </x:c>
      <x:c r="Q114" s="28" t="n">
        <x:v>60</x:v>
      </x:c>
      <x:c r="R114" s="30" t="str">
        <x:v>Strong DEF/STR</x:v>
      </x:c>
    </x:row>
    <x:row r="115">
      <x:c r="A115" s="28" t="n">
        <x:v>111</x:v>
      </x:c>
      <x:c r="B115" s="30" t="str">
        <x:v>Rhyhorn</x:v>
      </x:c>
      <x:c r="C115" s="30" t="str">
        <x:v>Ground / Rock</x:v>
      </x:c>
      <x:c r="D115" s="28" t="str">
        <x:f>IF(M115&gt;=O115*1.15,"Physical",IF(O115&gt;=M115*1.15,"Magic","Hybrid"))</x:f>
        <x:v>Physical</x:v>
      </x:c>
      <x:c r="E115" s="28" t="n">
        <x:f>L115</x:f>
        <x:v>80</x:v>
      </x:c>
      <x:c r="F115" s="28" t="n">
        <x:f>ROUND(MAX(20,0.45*O115+0.15*P115+0.05*Q115),0)</x:f>
        <x:v>20</x:v>
      </x:c>
      <x:c r="G115" s="28" t="n">
        <x:f>ROUND(0.8*M115+0.2*O115,0)</x:f>
        <x:v>74</x:v>
      </x:c>
      <x:c r="H115" s="28" t="n">
        <x:f>ROUND(0.65*N115+0.35*P115,0)</x:f>
        <x:v>72</x:v>
      </x:c>
      <x:c r="I115" s="28" t="n">
        <x:f>ROUND(0.65*O115+0.25*P115+0.1*Q115,0)</x:f>
        <x:v>30</x:v>
      </x:c>
      <x:c r="J115" s="28" t="n">
        <x:f>Q115</x:f>
        <x:v>25</x:v>
      </x:c>
      <x:c r="K115" s="28" t="n">
        <x:f>SUM(E115,G115:J115)</x:f>
        <x:v>281</x:v>
      </x:c>
      <x:c r="L115" s="28" t="n">
        <x:v>80</x:v>
      </x:c>
      <x:c r="M115" s="28" t="n">
        <x:v>85</x:v>
      </x:c>
      <x:c r="N115" s="28" t="n">
        <x:v>95</x:v>
      </x:c>
      <x:c r="O115" s="28" t="n">
        <x:v>30</x:v>
      </x:c>
      <x:c r="P115" s="28" t="n">
        <x:v>30</x:v>
      </x:c>
      <x:c r="Q115" s="28" t="n">
        <x:v>25</x:v>
      </x:c>
      <x:c r="R115" s="30" t="str">
        <x:v>Strong HP/STR; Low MP; future PATK lean</x:v>
      </x:c>
    </x:row>
    <x:row r="116">
      <x:c r="A116" s="28" t="n">
        <x:v>112</x:v>
      </x:c>
      <x:c r="B116" s="30" t="str">
        <x:v>Rhydon</x:v>
      </x:c>
      <x:c r="C116" s="30" t="str">
        <x:v>Ground / Rock</x:v>
      </x:c>
      <x:c r="D116" s="28" t="str">
        <x:f>IF(M116&gt;=O116*1.15,"Physical",IF(O116&gt;=M116*1.15,"Magic","Hybrid"))</x:f>
        <x:v>Physical</x:v>
      </x:c>
      <x:c r="E116" s="28" t="n">
        <x:f>L116</x:f>
        <x:v>105</x:v>
      </x:c>
      <x:c r="F116" s="28" t="n">
        <x:f>ROUND(MAX(20,0.45*O116+0.15*P116+0.05*Q116),0)</x:f>
        <x:v>29</x:v>
      </x:c>
      <x:c r="G116" s="28" t="n">
        <x:f>ROUND(0.8*M116+0.2*O116,0)</x:f>
        <x:v>113</x:v>
      </x:c>
      <x:c r="H116" s="28" t="n">
        <x:f>ROUND(0.65*N116+0.35*P116,0)</x:f>
        <x:v>94</x:v>
      </x:c>
      <x:c r="I116" s="28" t="n">
        <x:f>ROUND(0.65*O116+0.25*P116+0.1*Q116,0)</x:f>
        <x:v>45</x:v>
      </x:c>
      <x:c r="J116" s="28" t="n">
        <x:f>Q116</x:f>
        <x:v>40</x:v>
      </x:c>
      <x:c r="K116" s="28" t="n">
        <x:f>SUM(E116,G116:J116)</x:f>
        <x:v>397</x:v>
      </x:c>
      <x:c r="L116" s="28" t="n">
        <x:v>105</x:v>
      </x:c>
      <x:c r="M116" s="28" t="n">
        <x:v>130</x:v>
      </x:c>
      <x:c r="N116" s="28" t="n">
        <x:v>120</x:v>
      </x:c>
      <x:c r="O116" s="28" t="n">
        <x:v>45</x:v>
      </x:c>
      <x:c r="P116" s="28" t="n">
        <x:v>45</x:v>
      </x:c>
      <x:c r="Q116" s="28" t="n">
        <x:v>40</x:v>
      </x:c>
      <x:c r="R116" s="30" t="str">
        <x:v>Strong STR/HP; future PATK lean</x:v>
      </x:c>
    </x:row>
    <x:row r="117">
      <x:c r="A117" s="28" t="n">
        <x:v>113</x:v>
      </x:c>
      <x:c r="B117" s="30" t="str">
        <x:v>Chansey</x:v>
      </x:c>
      <x:c r="C117" s="30" t="str">
        <x:v>Normal</x:v>
      </x:c>
      <x:c r="D117" s="28" t="str">
        <x:f>IF(M117&gt;=O117*1.15,"Physical",IF(O117&gt;=M117*1.15,"Magic","Hybrid"))</x:f>
        <x:v>Magic</x:v>
      </x:c>
      <x:c r="E117" s="28" t="n">
        <x:f>L117</x:f>
        <x:v>250</x:v>
      </x:c>
      <x:c r="F117" s="28" t="n">
        <x:f>ROUND(MAX(20,0.45*O117+0.15*P117+0.05*Q117),0)</x:f>
        <x:v>34</x:v>
      </x:c>
      <x:c r="G117" s="28" t="n">
        <x:f>ROUND(0.8*M117+0.2*O117,0)</x:f>
        <x:v>11</x:v>
      </x:c>
      <x:c r="H117" s="28" t="n">
        <x:f>ROUND(0.65*N117+0.35*P117,0)</x:f>
        <x:v>40</x:v>
      </x:c>
      <x:c r="I117" s="28" t="n">
        <x:f>ROUND(0.65*O117+0.25*P117+0.1*Q117,0)</x:f>
        <x:v>54</x:v>
      </x:c>
      <x:c r="J117" s="28" t="n">
        <x:f>Q117</x:f>
        <x:v>50</x:v>
      </x:c>
      <x:c r="K117" s="28" t="n">
        <x:f>SUM(E117,G117:J117)</x:f>
        <x:v>405</x:v>
      </x:c>
      <x:c r="L117" s="28" t="n">
        <x:v>250</x:v>
      </x:c>
      <x:c r="M117" s="28" t="n">
        <x:v>5</x:v>
      </x:c>
      <x:c r="N117" s="28" t="n">
        <x:v>5</x:v>
      </x:c>
      <x:c r="O117" s="28" t="n">
        <x:v>35</x:v>
      </x:c>
      <x:c r="P117" s="28" t="n">
        <x:v>105</x:v>
      </x:c>
      <x:c r="Q117" s="28" t="n">
        <x:v>50</x:v>
      </x:c>
      <x:c r="R117" s="30" t="str">
        <x:v>Strong HP/INT; future MATK lean</x:v>
      </x:c>
    </x:row>
    <x:row r="118">
      <x:c r="A118" s="28" t="n">
        <x:v>114</x:v>
      </x:c>
      <x:c r="B118" s="30" t="str">
        <x:v>Tangela</x:v>
      </x:c>
      <x:c r="C118" s="30" t="str">
        <x:v>Grass</x:v>
      </x:c>
      <x:c r="D118" s="28" t="str">
        <x:f>IF(M118&gt;=O118*1.15,"Physical",IF(O118&gt;=M118*1.15,"Magic","Hybrid"))</x:f>
        <x:v>Magic</x:v>
      </x:c>
      <x:c r="E118" s="28" t="n">
        <x:f>L118</x:f>
        <x:v>65</x:v>
      </x:c>
      <x:c r="F118" s="28" t="n">
        <x:f>ROUND(MAX(20,0.45*O118+0.15*P118+0.05*Q118),0)</x:f>
        <x:v>54</x:v>
      </x:c>
      <x:c r="G118" s="28" t="n">
        <x:f>ROUND(0.8*M118+0.2*O118,0)</x:f>
        <x:v>64</x:v>
      </x:c>
      <x:c r="H118" s="28" t="n">
        <x:f>ROUND(0.65*N118+0.35*P118,0)</x:f>
        <x:v>89</x:v>
      </x:c>
      <x:c r="I118" s="28" t="n">
        <x:f>ROUND(0.65*O118+0.25*P118+0.1*Q118,0)</x:f>
        <x:v>81</x:v>
      </x:c>
      <x:c r="J118" s="28" t="n">
        <x:f>Q118</x:f>
        <x:v>60</x:v>
      </x:c>
      <x:c r="K118" s="28" t="n">
        <x:f>SUM(E118,G118:J118)</x:f>
        <x:v>359</x:v>
      </x:c>
      <x:c r="L118" s="28" t="n">
        <x:v>65</x:v>
      </x:c>
      <x:c r="M118" s="28" t="n">
        <x:v>55</x:v>
      </x:c>
      <x:c r="N118" s="28" t="n">
        <x:v>115</x:v>
      </x:c>
      <x:c r="O118" s="28" t="n">
        <x:v>100</x:v>
      </x:c>
      <x:c r="P118" s="28" t="n">
        <x:v>40</x:v>
      </x:c>
      <x:c r="Q118" s="28" t="n">
        <x:v>60</x:v>
      </x:c>
      <x:c r="R118" s="30" t="str">
        <x:v>Strong DEF/INT; future MATK lean</x:v>
      </x:c>
    </x:row>
    <x:row r="119">
      <x:c r="A119" s="28" t="n">
        <x:v>115</x:v>
      </x:c>
      <x:c r="B119" s="30" t="str">
        <x:v>Kangaskhan</x:v>
      </x:c>
      <x:c r="C119" s="30" t="str">
        <x:v>Normal</x:v>
      </x:c>
      <x:c r="D119" s="28" t="str">
        <x:f>IF(M119&gt;=O119*1.15,"Physical",IF(O119&gt;=M119*1.15,"Magic","Hybrid"))</x:f>
        <x:v>Physical</x:v>
      </x:c>
      <x:c r="E119" s="28" t="n">
        <x:f>L119</x:f>
        <x:v>105</x:v>
      </x:c>
      <x:c r="F119" s="28" t="n">
        <x:f>ROUND(MAX(20,0.45*O119+0.15*P119+0.05*Q119),0)</x:f>
        <x:v>35</x:v>
      </x:c>
      <x:c r="G119" s="28" t="n">
        <x:f>ROUND(0.8*M119+0.2*O119,0)</x:f>
        <x:v>84</x:v>
      </x:c>
      <x:c r="H119" s="28" t="n">
        <x:f>ROUND(0.65*N119+0.35*P119,0)</x:f>
        <x:v>80</x:v>
      </x:c>
      <x:c r="I119" s="28" t="n">
        <x:f>ROUND(0.65*O119+0.25*P119+0.1*Q119,0)</x:f>
        <x:v>55</x:v>
      </x:c>
      <x:c r="J119" s="28" t="n">
        <x:f>Q119</x:f>
        <x:v>90</x:v>
      </x:c>
      <x:c r="K119" s="28" t="n">
        <x:f>SUM(E119,G119:J119)</x:f>
        <x:v>414</x:v>
      </x:c>
      <x:c r="L119" s="28" t="n">
        <x:v>105</x:v>
      </x:c>
      <x:c r="M119" s="28" t="n">
        <x:v>95</x:v>
      </x:c>
      <x:c r="N119" s="28" t="n">
        <x:v>80</x:v>
      </x:c>
      <x:c r="O119" s="28" t="n">
        <x:v>40</x:v>
      </x:c>
      <x:c r="P119" s="28" t="n">
        <x:v>80</x:v>
      </x:c>
      <x:c r="Q119" s="28" t="n">
        <x:v>90</x:v>
      </x:c>
      <x:c r="R119" s="30" t="str">
        <x:v>Strong HP/SPD; future PATK lean</x:v>
      </x:c>
    </x:row>
    <x:row r="120">
      <x:c r="A120" s="28" t="n">
        <x:v>116</x:v>
      </x:c>
      <x:c r="B120" s="30" t="str">
        <x:v>Horsea</x:v>
      </x:c>
      <x:c r="C120" s="30" t="str">
        <x:v>Water</x:v>
      </x:c>
      <x:c r="D120" s="28" t="str">
        <x:f>IF(M120&gt;=O120*1.15,"Physical",IF(O120&gt;=M120*1.15,"Magic","Hybrid"))</x:f>
        <x:v>Magic</x:v>
      </x:c>
      <x:c r="E120" s="28" t="n">
        <x:f>L120</x:f>
        <x:v>30</x:v>
      </x:c>
      <x:c r="F120" s="28" t="n">
        <x:f>ROUND(MAX(20,0.45*O120+0.15*P120+0.05*Q120),0)</x:f>
        <x:v>38</x:v>
      </x:c>
      <x:c r="G120" s="28" t="n">
        <x:f>ROUND(0.8*M120+0.2*O120,0)</x:f>
        <x:v>46</x:v>
      </x:c>
      <x:c r="H120" s="28" t="n">
        <x:f>ROUND(0.65*N120+0.35*P120,0)</x:f>
        <x:v>54</x:v>
      </x:c>
      <x:c r="I120" s="28" t="n">
        <x:f>ROUND(0.65*O120+0.25*P120+0.1*Q120,0)</x:f>
        <x:v>58</x:v>
      </x:c>
      <x:c r="J120" s="28" t="n">
        <x:f>Q120</x:f>
        <x:v>60</x:v>
      </x:c>
      <x:c r="K120" s="28" t="n">
        <x:f>SUM(E120,G120:J120)</x:f>
        <x:v>248</x:v>
      </x:c>
      <x:c r="L120" s="28" t="n">
        <x:v>30</x:v>
      </x:c>
      <x:c r="M120" s="28" t="n">
        <x:v>40</x:v>
      </x:c>
      <x:c r="N120" s="28" t="n">
        <x:v>70</x:v>
      </x:c>
      <x:c r="O120" s="28" t="n">
        <x:v>70</x:v>
      </x:c>
      <x:c r="P120" s="28" t="n">
        <x:v>25</x:v>
      </x:c>
      <x:c r="Q120" s="28" t="n">
        <x:v>60</x:v>
      </x:c>
      <x:c r="R120" s="30" t="str">
        <x:v>Strong SPD/INT; future MATK lean</x:v>
      </x:c>
    </x:row>
    <x:row r="121">
      <x:c r="A121" s="28" t="n">
        <x:v>117</x:v>
      </x:c>
      <x:c r="B121" s="30" t="str">
        <x:v>Seadra</x:v>
      </x:c>
      <x:c r="C121" s="30" t="str">
        <x:v>Water</x:v>
      </x:c>
      <x:c r="D121" s="28" t="str">
        <x:f>IF(M121&gt;=O121*1.15,"Physical",IF(O121&gt;=M121*1.15,"Magic","Hybrid"))</x:f>
        <x:v>Magic</x:v>
      </x:c>
      <x:c r="E121" s="28" t="n">
        <x:f>L121</x:f>
        <x:v>55</x:v>
      </x:c>
      <x:c r="F121" s="28" t="n">
        <x:f>ROUND(MAX(20,0.45*O121+0.15*P121+0.05*Q121),0)</x:f>
        <x:v>54</x:v>
      </x:c>
      <x:c r="G121" s="28" t="n">
        <x:f>ROUND(0.8*M121+0.2*O121,0)</x:f>
        <x:v>71</x:v>
      </x:c>
      <x:c r="H121" s="28" t="n">
        <x:f>ROUND(0.65*N121+0.35*P121,0)</x:f>
        <x:v>78</x:v>
      </x:c>
      <x:c r="I121" s="28" t="n">
        <x:f>ROUND(0.65*O121+0.25*P121+0.1*Q121,0)</x:f>
        <x:v>82</x:v>
      </x:c>
      <x:c r="J121" s="28" t="n">
        <x:f>Q121</x:f>
        <x:v>85</x:v>
      </x:c>
      <x:c r="K121" s="28" t="n">
        <x:f>SUM(E121,G121:J121)</x:f>
        <x:v>371</x:v>
      </x:c>
      <x:c r="L121" s="28" t="n">
        <x:v>55</x:v>
      </x:c>
      <x:c r="M121" s="28" t="n">
        <x:v>65</x:v>
      </x:c>
      <x:c r="N121" s="28" t="n">
        <x:v>95</x:v>
      </x:c>
      <x:c r="O121" s="28" t="n">
        <x:v>95</x:v>
      </x:c>
      <x:c r="P121" s="28" t="n">
        <x:v>45</x:v>
      </x:c>
      <x:c r="Q121" s="28" t="n">
        <x:v>85</x:v>
      </x:c>
      <x:c r="R121" s="30" t="str">
        <x:v>Strong SPD/INT; future MATK lean</x:v>
      </x:c>
    </x:row>
    <x:row r="122">
      <x:c r="A122" s="28" t="n">
        <x:v>118</x:v>
      </x:c>
      <x:c r="B122" s="30" t="str">
        <x:v>Goldeen</x:v>
      </x:c>
      <x:c r="C122" s="30" t="str">
        <x:v>Water</x:v>
      </x:c>
      <x:c r="D122" s="28" t="str">
        <x:f>IF(M122&gt;=O122*1.15,"Physical",IF(O122&gt;=M122*1.15,"Magic","Hybrid"))</x:f>
        <x:v>Physical</x:v>
      </x:c>
      <x:c r="E122" s="28" t="n">
        <x:f>L122</x:f>
        <x:v>45</x:v>
      </x:c>
      <x:c r="F122" s="28" t="n">
        <x:f>ROUND(MAX(20,0.45*O122+0.15*P122+0.05*Q122),0)</x:f>
        <x:v>26</x:v>
      </x:c>
      <x:c r="G122" s="28" t="n">
        <x:f>ROUND(0.8*M122+0.2*O122,0)</x:f>
        <x:v>61</x:v>
      </x:c>
      <x:c r="H122" s="28" t="n">
        <x:f>ROUND(0.65*N122+0.35*P122,0)</x:f>
        <x:v>57</x:v>
      </x:c>
      <x:c r="I122" s="28" t="n">
        <x:f>ROUND(0.65*O122+0.25*P122+0.1*Q122,0)</x:f>
        <x:v>42</x:v>
      </x:c>
      <x:c r="J122" s="28" t="n">
        <x:f>Q122</x:f>
        <x:v>63</x:v>
      </x:c>
      <x:c r="K122" s="28" t="n">
        <x:f>SUM(E122,G122:J122)</x:f>
        <x:v>268</x:v>
      </x:c>
      <x:c r="L122" s="28" t="n">
        <x:v>45</x:v>
      </x:c>
      <x:c r="M122" s="28" t="n">
        <x:v>67</x:v>
      </x:c>
      <x:c r="N122" s="28" t="n">
        <x:v>60</x:v>
      </x:c>
      <x:c r="O122" s="28" t="n">
        <x:v>35</x:v>
      </x:c>
      <x:c r="P122" s="28" t="n">
        <x:v>50</x:v>
      </x:c>
      <x:c r="Q122" s="28" t="n">
        <x:v>63</x:v>
      </x:c>
      <x:c r="R122" s="30" t="str">
        <x:v>Strong SPD/STR; future PATK lean</x:v>
      </x:c>
    </x:row>
    <x:row r="123">
      <x:c r="A123" s="28" t="n">
        <x:v>119</x:v>
      </x:c>
      <x:c r="B123" s="30" t="str">
        <x:v>Seaking</x:v>
      </x:c>
      <x:c r="C123" s="30" t="str">
        <x:v>Water</x:v>
      </x:c>
      <x:c r="D123" s="28" t="str">
        <x:f>IF(M123&gt;=O123*1.15,"Physical",IF(O123&gt;=M123*1.15,"Magic","Hybrid"))</x:f>
        <x:v>Physical</x:v>
      </x:c>
      <x:c r="E123" s="28" t="n">
        <x:f>L123</x:f>
        <x:v>80</x:v>
      </x:c>
      <x:c r="F123" s="28" t="n">
        <x:f>ROUND(MAX(20,0.45*O123+0.15*P123+0.05*Q123),0)</x:f>
        <x:v>45</x:v>
      </x:c>
      <x:c r="G123" s="28" t="n">
        <x:f>ROUND(0.8*M123+0.2*O123,0)</x:f>
        <x:v>87</x:v>
      </x:c>
      <x:c r="H123" s="28" t="n">
        <x:f>ROUND(0.65*N123+0.35*P123,0)</x:f>
        <x:v>70</x:v>
      </x:c>
      <x:c r="I123" s="28" t="n">
        <x:f>ROUND(0.65*O123+0.25*P123+0.1*Q123,0)</x:f>
        <x:v>69</x:v>
      </x:c>
      <x:c r="J123" s="28" t="n">
        <x:f>Q123</x:f>
        <x:v>68</x:v>
      </x:c>
      <x:c r="K123" s="28" t="n">
        <x:f>SUM(E123,G123:J123)</x:f>
        <x:v>374</x:v>
      </x:c>
      <x:c r="L123" s="28" t="n">
        <x:v>80</x:v>
      </x:c>
      <x:c r="M123" s="28" t="n">
        <x:v>92</x:v>
      </x:c>
      <x:c r="N123" s="28" t="n">
        <x:v>65</x:v>
      </x:c>
      <x:c r="O123" s="28" t="n">
        <x:v>65</x:v>
      </x:c>
      <x:c r="P123" s="28" t="n">
        <x:v>80</x:v>
      </x:c>
      <x:c r="Q123" s="28" t="n">
        <x:v>68</x:v>
      </x:c>
      <x:c r="R123" s="30" t="str">
        <x:v>Strong STR/HP; future PATK lean</x:v>
      </x:c>
    </x:row>
    <x:row r="124">
      <x:c r="A124" s="28" t="n">
        <x:v>120</x:v>
      </x:c>
      <x:c r="B124" s="30" t="str">
        <x:v>Staryu</x:v>
      </x:c>
      <x:c r="C124" s="30" t="str">
        <x:v>Water</x:v>
      </x:c>
      <x:c r="D124" s="28" t="str">
        <x:f>IF(M124&gt;=O124*1.15,"Physical",IF(O124&gt;=M124*1.15,"Magic","Hybrid"))</x:f>
        <x:v>Magic</x:v>
      </x:c>
      <x:c r="E124" s="28" t="n">
        <x:f>L124</x:f>
        <x:v>30</x:v>
      </x:c>
      <x:c r="F124" s="28" t="n">
        <x:f>ROUND(MAX(20,0.45*O124+0.15*P124+0.05*Q124),0)</x:f>
        <x:v>44</x:v>
      </x:c>
      <x:c r="G124" s="28" t="n">
        <x:f>ROUND(0.8*M124+0.2*O124,0)</x:f>
        <x:v>50</x:v>
      </x:c>
      <x:c r="H124" s="28" t="n">
        <x:f>ROUND(0.65*N124+0.35*P124,0)</x:f>
        <x:v>55</x:v>
      </x:c>
      <x:c r="I124" s="28" t="n">
        <x:f>ROUND(0.65*O124+0.25*P124+0.1*Q124,0)</x:f>
        <x:v>68</x:v>
      </x:c>
      <x:c r="J124" s="28" t="n">
        <x:f>Q124</x:f>
        <x:v>85</x:v>
      </x:c>
      <x:c r="K124" s="28" t="n">
        <x:f>SUM(E124,G124:J124)</x:f>
        <x:v>288</x:v>
      </x:c>
      <x:c r="L124" s="28" t="n">
        <x:v>30</x:v>
      </x:c>
      <x:c r="M124" s="28" t="n">
        <x:v>45</x:v>
      </x:c>
      <x:c r="N124" s="28" t="n">
        <x:v>55</x:v>
      </x:c>
      <x:c r="O124" s="28" t="n">
        <x:v>70</x:v>
      </x:c>
      <x:c r="P124" s="28" t="n">
        <x:v>55</x:v>
      </x:c>
      <x:c r="Q124" s="28" t="n">
        <x:v>85</x:v>
      </x:c>
      <x:c r="R124" s="30" t="str">
        <x:v>Strong SPD/INT; future MATK lean</x:v>
      </x:c>
    </x:row>
    <x:row r="125">
      <x:c r="A125" s="28" t="n">
        <x:v>121</x:v>
      </x:c>
      <x:c r="B125" s="30" t="str">
        <x:v>Starmie</x:v>
      </x:c>
      <x:c r="C125" s="30" t="str">
        <x:v>Water / Psychic</x:v>
      </x:c>
      <x:c r="D125" s="28" t="str">
        <x:f>IF(M125&gt;=O125*1.15,"Physical",IF(O125&gt;=M125*1.15,"Magic","Hybrid"))</x:f>
        <x:v>Magic</x:v>
      </x:c>
      <x:c r="E125" s="28" t="n">
        <x:f>L125</x:f>
        <x:v>60</x:v>
      </x:c>
      <x:c r="F125" s="28" t="n">
        <x:f>ROUND(MAX(20,0.45*O125+0.15*P125+0.05*Q125),0)</x:f>
        <x:v>64</x:v>
      </x:c>
      <x:c r="G125" s="28" t="n">
        <x:f>ROUND(0.8*M125+0.2*O125,0)</x:f>
        <x:v>80</x:v>
      </x:c>
      <x:c r="H125" s="28" t="n">
        <x:f>ROUND(0.65*N125+0.35*P125,0)</x:f>
        <x:v>85</x:v>
      </x:c>
      <x:c r="I125" s="28" t="n">
        <x:f>ROUND(0.65*O125+0.25*P125+0.1*Q125,0)</x:f>
        <x:v>98</x:v>
      </x:c>
      <x:c r="J125" s="28" t="n">
        <x:f>Q125</x:f>
        <x:v>115</x:v>
      </x:c>
      <x:c r="K125" s="28" t="n">
        <x:f>SUM(E125,G125:J125)</x:f>
        <x:v>438</x:v>
      </x:c>
      <x:c r="L125" s="28" t="n">
        <x:v>60</x:v>
      </x:c>
      <x:c r="M125" s="28" t="n">
        <x:v>75</x:v>
      </x:c>
      <x:c r="N125" s="28" t="n">
        <x:v>85</x:v>
      </x:c>
      <x:c r="O125" s="28" t="n">
        <x:v>100</x:v>
      </x:c>
      <x:c r="P125" s="28" t="n">
        <x:v>85</x:v>
      </x:c>
      <x:c r="Q125" s="28" t="n">
        <x:v>115</x:v>
      </x:c>
      <x:c r="R125" s="30" t="str">
        <x:v>Strong SPD/INT; High MP; future MATK lean</x:v>
      </x:c>
    </x:row>
    <x:row r="126">
      <x:c r="A126" s="28" t="n">
        <x:v>122</x:v>
      </x:c>
      <x:c r="B126" s="30" t="str">
        <x:v>Mr Mime</x:v>
      </x:c>
      <x:c r="C126" s="30" t="str">
        <x:v>Psychic / Fairy</x:v>
      </x:c>
      <x:c r="D126" s="28" t="str">
        <x:f>IF(M126&gt;=O126*1.15,"Physical",IF(O126&gt;=M126*1.15,"Magic","Hybrid"))</x:f>
        <x:v>Magic</x:v>
      </x:c>
      <x:c r="E126" s="28" t="n">
        <x:f>L126</x:f>
        <x:v>40</x:v>
      </x:c>
      <x:c r="F126" s="28" t="n">
        <x:f>ROUND(MAX(20,0.45*O126+0.15*P126+0.05*Q126),0)</x:f>
        <x:v>68</x:v>
      </x:c>
      <x:c r="G126" s="28" t="n">
        <x:f>ROUND(0.8*M126+0.2*O126,0)</x:f>
        <x:v>56</x:v>
      </x:c>
      <x:c r="H126" s="28" t="n">
        <x:f>ROUND(0.65*N126+0.35*P126,0)</x:f>
        <x:v>84</x:v>
      </x:c>
      <x:c r="I126" s="28" t="n">
        <x:f>ROUND(0.65*O126+0.25*P126+0.1*Q126,0)</x:f>
        <x:v>104</x:v>
      </x:c>
      <x:c r="J126" s="28" t="n">
        <x:f>Q126</x:f>
        <x:v>90</x:v>
      </x:c>
      <x:c r="K126" s="28" t="n">
        <x:f>SUM(E126,G126:J126)</x:f>
        <x:v>374</x:v>
      </x:c>
      <x:c r="L126" s="28" t="n">
        <x:v>40</x:v>
      </x:c>
      <x:c r="M126" s="28" t="n">
        <x:v>45</x:v>
      </x:c>
      <x:c r="N126" s="28" t="n">
        <x:v>65</x:v>
      </x:c>
      <x:c r="O126" s="28" t="n">
        <x:v>100</x:v>
      </x:c>
      <x:c r="P126" s="28" t="n">
        <x:v>120</x:v>
      </x:c>
      <x:c r="Q126" s="28" t="n">
        <x:v>90</x:v>
      </x:c>
      <x:c r="R126" s="30" t="str">
        <x:v>Strong INT/SPD; High MP; future MATK lean</x:v>
      </x:c>
    </x:row>
    <x:row r="127">
      <x:c r="A127" s="28" t="n">
        <x:v>123</x:v>
      </x:c>
      <x:c r="B127" s="30" t="str">
        <x:v>Scyther</x:v>
      </x:c>
      <x:c r="C127" s="30" t="str">
        <x:v>Bug / Flying</x:v>
      </x:c>
      <x:c r="D127" s="28" t="str">
        <x:f>IF(M127&gt;=O127*1.15,"Physical",IF(O127&gt;=M127*1.15,"Magic","Hybrid"))</x:f>
        <x:v>Physical</x:v>
      </x:c>
      <x:c r="E127" s="28" t="n">
        <x:f>L127</x:f>
        <x:v>70</x:v>
      </x:c>
      <x:c r="F127" s="28" t="n">
        <x:f>ROUND(MAX(20,0.45*O127+0.15*P127+0.05*Q127),0)</x:f>
        <x:v>42</x:v>
      </x:c>
      <x:c r="G127" s="28" t="n">
        <x:f>ROUND(0.8*M127+0.2*O127,0)</x:f>
        <x:v>99</x:v>
      </x:c>
      <x:c r="H127" s="28" t="n">
        <x:f>ROUND(0.65*N127+0.35*P127,0)</x:f>
        <x:v>80</x:v>
      </x:c>
      <x:c r="I127" s="28" t="n">
        <x:f>ROUND(0.65*O127+0.25*P127+0.1*Q127,0)</x:f>
        <x:v>66</x:v>
      </x:c>
      <x:c r="J127" s="28" t="n">
        <x:f>Q127</x:f>
        <x:v>105</x:v>
      </x:c>
      <x:c r="K127" s="28" t="n">
        <x:f>SUM(E127,G127:J127)</x:f>
        <x:v>420</x:v>
      </x:c>
      <x:c r="L127" s="28" t="n">
        <x:v>70</x:v>
      </x:c>
      <x:c r="M127" s="28" t="n">
        <x:v>110</x:v>
      </x:c>
      <x:c r="N127" s="28" t="n">
        <x:v>80</x:v>
      </x:c>
      <x:c r="O127" s="28" t="n">
        <x:v>55</x:v>
      </x:c>
      <x:c r="P127" s="28" t="n">
        <x:v>80</x:v>
      </x:c>
      <x:c r="Q127" s="28" t="n">
        <x:v>105</x:v>
      </x:c>
      <x:c r="R127" s="30" t="str">
        <x:v>Strong SPD/STR; future PATK lean</x:v>
      </x:c>
    </x:row>
    <x:row r="128">
      <x:c r="A128" s="28" t="n">
        <x:v>124</x:v>
      </x:c>
      <x:c r="B128" s="30" t="str">
        <x:v>Jynx</x:v>
      </x:c>
      <x:c r="C128" s="30" t="str">
        <x:v>Ice / Psychic</x:v>
      </x:c>
      <x:c r="D128" s="28" t="str">
        <x:f>IF(M128&gt;=O128*1.15,"Physical",IF(O128&gt;=M128*1.15,"Magic","Hybrid"))</x:f>
        <x:v>Magic</x:v>
      </x:c>
      <x:c r="E128" s="28" t="n">
        <x:f>L128</x:f>
        <x:v>65</x:v>
      </x:c>
      <x:c r="F128" s="28" t="n">
        <x:f>ROUND(MAX(20,0.45*O128+0.15*P128+0.05*Q128),0)</x:f>
        <x:v>71</x:v>
      </x:c>
      <x:c r="G128" s="28" t="n">
        <x:f>ROUND(0.8*M128+0.2*O128,0)</x:f>
        <x:v>63</x:v>
      </x:c>
      <x:c r="H128" s="28" t="n">
        <x:f>ROUND(0.65*N128+0.35*P128,0)</x:f>
        <x:v>56</x:v>
      </x:c>
      <x:c r="I128" s="28" t="n">
        <x:f>ROUND(0.65*O128+0.25*P128+0.1*Q128,0)</x:f>
        <x:v>108</x:v>
      </x:c>
      <x:c r="J128" s="28" t="n">
        <x:f>Q128</x:f>
        <x:v>95</x:v>
      </x:c>
      <x:c r="K128" s="28" t="n">
        <x:f>SUM(E128,G128:J128)</x:f>
        <x:v>387</x:v>
      </x:c>
      <x:c r="L128" s="28" t="n">
        <x:v>65</x:v>
      </x:c>
      <x:c r="M128" s="28" t="n">
        <x:v>50</x:v>
      </x:c>
      <x:c r="N128" s="28" t="n">
        <x:v>35</x:v>
      </x:c>
      <x:c r="O128" s="28" t="n">
        <x:v>115</x:v>
      </x:c>
      <x:c r="P128" s="28" t="n">
        <x:v>95</x:v>
      </x:c>
      <x:c r="Q128" s="28" t="n">
        <x:v>95</x:v>
      </x:c>
      <x:c r="R128" s="30" t="str">
        <x:v>Strong INT/SPD; High MP; future MATK lean</x:v>
      </x:c>
    </x:row>
    <x:row r="129">
      <x:c r="A129" s="28" t="n">
        <x:v>125</x:v>
      </x:c>
      <x:c r="B129" s="30" t="str">
        <x:v>Electabuzz</x:v>
      </x:c>
      <x:c r="C129" s="30" t="str">
        <x:v>Electric</x:v>
      </x:c>
      <x:c r="D129" s="28" t="str">
        <x:f>IF(M129&gt;=O129*1.15,"Physical",IF(O129&gt;=M129*1.15,"Magic","Hybrid"))</x:f>
        <x:v>Hybrid</x:v>
      </x:c>
      <x:c r="E129" s="28" t="n">
        <x:f>L129</x:f>
        <x:v>65</x:v>
      </x:c>
      <x:c r="F129" s="28" t="n">
        <x:f>ROUND(MAX(20,0.45*O129+0.15*P129+0.05*Q129),0)</x:f>
        <x:v>61</x:v>
      </x:c>
      <x:c r="G129" s="28" t="n">
        <x:f>ROUND(0.8*M129+0.2*O129,0)</x:f>
        <x:v>85</x:v>
      </x:c>
      <x:c r="H129" s="28" t="n">
        <x:f>ROUND(0.65*N129+0.35*P129,0)</x:f>
        <x:v>67</x:v>
      </x:c>
      <x:c r="I129" s="28" t="n">
        <x:f>ROUND(0.65*O129+0.25*P129+0.1*Q129,0)</x:f>
        <x:v>94</x:v>
      </x:c>
      <x:c r="J129" s="28" t="n">
        <x:f>Q129</x:f>
        <x:v>105</x:v>
      </x:c>
      <x:c r="K129" s="28" t="n">
        <x:f>SUM(E129,G129:J129)</x:f>
        <x:v>416</x:v>
      </x:c>
      <x:c r="L129" s="28" t="n">
        <x:v>65</x:v>
      </x:c>
      <x:c r="M129" s="28" t="n">
        <x:v>83</x:v>
      </x:c>
      <x:c r="N129" s="28" t="n">
        <x:v>57</x:v>
      </x:c>
      <x:c r="O129" s="28" t="n">
        <x:v>95</x:v>
      </x:c>
      <x:c r="P129" s="28" t="n">
        <x:v>85</x:v>
      </x:c>
      <x:c r="Q129" s="28" t="n">
        <x:v>105</x:v>
      </x:c>
      <x:c r="R129" s="30" t="str">
        <x:v>Strong SPD/INT; High MP</x:v>
      </x:c>
    </x:row>
    <x:row r="130">
      <x:c r="A130" s="28" t="n">
        <x:v>126</x:v>
      </x:c>
      <x:c r="B130" s="30" t="str">
        <x:v>Magmar</x:v>
      </x:c>
      <x:c r="C130" s="30" t="str">
        <x:v>Fire</x:v>
      </x:c>
      <x:c r="D130" s="28" t="str">
        <x:f>IF(M130&gt;=O130*1.15,"Physical",IF(O130&gt;=M130*1.15,"Magic","Hybrid"))</x:f>
        <x:v>Hybrid</x:v>
      </x:c>
      <x:c r="E130" s="28" t="n">
        <x:f>L130</x:f>
        <x:v>65</x:v>
      </x:c>
      <x:c r="F130" s="28" t="n">
        <x:f>ROUND(MAX(20,0.45*O130+0.15*P130+0.05*Q130),0)</x:f>
        <x:v>62</x:v>
      </x:c>
      <x:c r="G130" s="28" t="n">
        <x:f>ROUND(0.8*M130+0.2*O130,0)</x:f>
        <x:v>96</x:v>
      </x:c>
      <x:c r="H130" s="28" t="n">
        <x:f>ROUND(0.65*N130+0.35*P130,0)</x:f>
        <x:v>67</x:v>
      </x:c>
      <x:c r="I130" s="28" t="n">
        <x:f>ROUND(0.65*O130+0.25*P130+0.1*Q130,0)</x:f>
        <x:v>96</x:v>
      </x:c>
      <x:c r="J130" s="28" t="n">
        <x:f>Q130</x:f>
        <x:v>93</x:v>
      </x:c>
      <x:c r="K130" s="28" t="n">
        <x:f>SUM(E130,G130:J130)</x:f>
        <x:v>417</x:v>
      </x:c>
      <x:c r="L130" s="28" t="n">
        <x:v>65</x:v>
      </x:c>
      <x:c r="M130" s="28" t="n">
        <x:v>95</x:v>
      </x:c>
      <x:c r="N130" s="28" t="n">
        <x:v>57</x:v>
      </x:c>
      <x:c r="O130" s="28" t="n">
        <x:v>100</x:v>
      </x:c>
      <x:c r="P130" s="28" t="n">
        <x:v>85</x:v>
      </x:c>
      <x:c r="Q130" s="28" t="n">
        <x:v>93</x:v>
      </x:c>
      <x:c r="R130" s="30" t="str">
        <x:v>Strong STR/INT; High MP</x:v>
      </x:c>
    </x:row>
    <x:row r="131">
      <x:c r="A131" s="28" t="n">
        <x:v>127</x:v>
      </x:c>
      <x:c r="B131" s="30" t="str">
        <x:v>Pinsir</x:v>
      </x:c>
      <x:c r="C131" s="30" t="str">
        <x:v>Bug</x:v>
      </x:c>
      <x:c r="D131" s="28" t="str">
        <x:f>IF(M131&gt;=O131*1.15,"Physical",IF(O131&gt;=M131*1.15,"Magic","Hybrid"))</x:f>
        <x:v>Physical</x:v>
      </x:c>
      <x:c r="E131" s="28" t="n">
        <x:f>L131</x:f>
        <x:v>65</x:v>
      </x:c>
      <x:c r="F131" s="28" t="n">
        <x:f>ROUND(MAX(20,0.45*O131+0.15*P131+0.05*Q131),0)</x:f>
        <x:v>40</x:v>
      </x:c>
      <x:c r="G131" s="28" t="n">
        <x:f>ROUND(0.8*M131+0.2*O131,0)</x:f>
        <x:v>111</x:v>
      </x:c>
      <x:c r="H131" s="28" t="n">
        <x:f>ROUND(0.65*N131+0.35*P131,0)</x:f>
        <x:v>90</x:v>
      </x:c>
      <x:c r="I131" s="28" t="n">
        <x:f>ROUND(0.65*O131+0.25*P131+0.1*Q131,0)</x:f>
        <x:v>62</x:v>
      </x:c>
      <x:c r="J131" s="28" t="n">
        <x:f>Q131</x:f>
        <x:v>85</x:v>
      </x:c>
      <x:c r="K131" s="28" t="n">
        <x:f>SUM(E131,G131:J131)</x:f>
        <x:v>413</x:v>
      </x:c>
      <x:c r="L131" s="28" t="n">
        <x:v>65</x:v>
      </x:c>
      <x:c r="M131" s="28" t="n">
        <x:v>125</x:v>
      </x:c>
      <x:c r="N131" s="28" t="n">
        <x:v>100</x:v>
      </x:c>
      <x:c r="O131" s="28" t="n">
        <x:v>55</x:v>
      </x:c>
      <x:c r="P131" s="28" t="n">
        <x:v>70</x:v>
      </x:c>
      <x:c r="Q131" s="28" t="n">
        <x:v>85</x:v>
      </x:c>
      <x:c r="R131" s="30" t="str">
        <x:v>Strong STR/DEF; future PATK lean</x:v>
      </x:c>
    </x:row>
    <x:row r="132">
      <x:c r="A132" s="28" t="n">
        <x:v>128</x:v>
      </x:c>
      <x:c r="B132" s="30" t="str">
        <x:v>Tauros</x:v>
      </x:c>
      <x:c r="C132" s="30" t="str">
        <x:v>Normal</x:v>
      </x:c>
      <x:c r="D132" s="28" t="str">
        <x:f>IF(M132&gt;=O132*1.15,"Physical",IF(O132&gt;=M132*1.15,"Magic","Hybrid"))</x:f>
        <x:v>Physical</x:v>
      </x:c>
      <x:c r="E132" s="28" t="n">
        <x:f>L132</x:f>
        <x:v>75</x:v>
      </x:c>
      <x:c r="F132" s="28" t="n">
        <x:f>ROUND(MAX(20,0.45*O132+0.15*P132+0.05*Q132),0)</x:f>
        <x:v>34</x:v>
      </x:c>
      <x:c r="G132" s="28" t="n">
        <x:f>ROUND(0.8*M132+0.2*O132,0)</x:f>
        <x:v>88</x:v>
      </x:c>
      <x:c r="H132" s="28" t="n">
        <x:f>ROUND(0.65*N132+0.35*P132,0)</x:f>
        <x:v>86</x:v>
      </x:c>
      <x:c r="I132" s="28" t="n">
        <x:f>ROUND(0.65*O132+0.25*P132+0.1*Q132,0)</x:f>
        <x:v>55</x:v>
      </x:c>
      <x:c r="J132" s="28" t="n">
        <x:f>Q132</x:f>
        <x:v>110</x:v>
      </x:c>
      <x:c r="K132" s="28" t="n">
        <x:f>SUM(E132,G132:J132)</x:f>
        <x:v>414</x:v>
      </x:c>
      <x:c r="L132" s="28" t="n">
        <x:v>75</x:v>
      </x:c>
      <x:c r="M132" s="28" t="n">
        <x:v>100</x:v>
      </x:c>
      <x:c r="N132" s="28" t="n">
        <x:v>95</x:v>
      </x:c>
      <x:c r="O132" s="28" t="n">
        <x:v>40</x:v>
      </x:c>
      <x:c r="P132" s="28" t="n">
        <x:v>70</x:v>
      </x:c>
      <x:c r="Q132" s="28" t="n">
        <x:v>110</x:v>
      </x:c>
      <x:c r="R132" s="30" t="str">
        <x:v>Strong SPD/STR; future PATK lean</x:v>
      </x:c>
    </x:row>
    <x:row r="133">
      <x:c r="A133" s="28" t="n">
        <x:v>129</x:v>
      </x:c>
      <x:c r="B133" s="30" t="str">
        <x:v>Magikarp</x:v>
      </x:c>
      <x:c r="C133" s="30" t="str">
        <x:v>Water</x:v>
      </x:c>
      <x:c r="D133" s="28" t="str">
        <x:f>IF(M133&gt;=O133*1.15,"Physical",IF(O133&gt;=M133*1.15,"Magic","Hybrid"))</x:f>
        <x:v>Magic</x:v>
      </x:c>
      <x:c r="E133" s="28" t="n">
        <x:f>L133</x:f>
        <x:v>20</x:v>
      </x:c>
      <x:c r="F133" s="28" t="n">
        <x:f>ROUND(MAX(20,0.45*O133+0.15*P133+0.05*Q133),0)</x:f>
        <x:v>20</x:v>
      </x:c>
      <x:c r="G133" s="28" t="n">
        <x:f>ROUND(0.8*M133+0.2*O133,0)</x:f>
        <x:v>11</x:v>
      </x:c>
      <x:c r="H133" s="28" t="n">
        <x:f>ROUND(0.65*N133+0.35*P133,0)</x:f>
        <x:v>43</x:v>
      </x:c>
      <x:c r="I133" s="28" t="n">
        <x:f>ROUND(0.65*O133+0.25*P133+0.1*Q133,0)</x:f>
        <x:v>23</x:v>
      </x:c>
      <x:c r="J133" s="28" t="n">
        <x:f>Q133</x:f>
        <x:v>80</x:v>
      </x:c>
      <x:c r="K133" s="28" t="n">
        <x:f>SUM(E133,G133:J133)</x:f>
        <x:v>177</x:v>
      </x:c>
      <x:c r="L133" s="28" t="n">
        <x:v>20</x:v>
      </x:c>
      <x:c r="M133" s="28" t="n">
        <x:v>10</x:v>
      </x:c>
      <x:c r="N133" s="28" t="n">
        <x:v>55</x:v>
      </x:c>
      <x:c r="O133" s="28" t="n">
        <x:v>15</x:v>
      </x:c>
      <x:c r="P133" s="28" t="n">
        <x:v>20</x:v>
      </x:c>
      <x:c r="Q133" s="28" t="n">
        <x:v>80</x:v>
      </x:c>
      <x:c r="R133" s="30" t="str">
        <x:v>Strong SPD/DEF; Low MP; future MATK lean</x:v>
      </x:c>
    </x:row>
    <x:row r="134">
      <x:c r="A134" s="28" t="n">
        <x:v>130</x:v>
      </x:c>
      <x:c r="B134" s="30" t="str">
        <x:v>Gyarados</x:v>
      </x:c>
      <x:c r="C134" s="30" t="str">
        <x:v>Water / Flying</x:v>
      </x:c>
      <x:c r="D134" s="28" t="str">
        <x:f>IF(M134&gt;=O134*1.15,"Physical",IF(O134&gt;=M134*1.15,"Magic","Hybrid"))</x:f>
        <x:v>Physical</x:v>
      </x:c>
      <x:c r="E134" s="28" t="n">
        <x:f>L134</x:f>
        <x:v>95</x:v>
      </x:c>
      <x:c r="F134" s="28" t="n">
        <x:f>ROUND(MAX(20,0.45*O134+0.15*P134+0.05*Q134),0)</x:f>
        <x:v>46</x:v>
      </x:c>
      <x:c r="G134" s="28" t="n">
        <x:f>ROUND(0.8*M134+0.2*O134,0)</x:f>
        <x:v>112</x:v>
      </x:c>
      <x:c r="H134" s="28" t="n">
        <x:f>ROUND(0.65*N134+0.35*P134,0)</x:f>
        <x:v>86</x:v>
      </x:c>
      <x:c r="I134" s="28" t="n">
        <x:f>ROUND(0.65*O134+0.25*P134+0.1*Q134,0)</x:f>
        <x:v>72</x:v>
      </x:c>
      <x:c r="J134" s="28" t="n">
        <x:f>Q134</x:f>
        <x:v>81</x:v>
      </x:c>
      <x:c r="K134" s="28" t="n">
        <x:f>SUM(E134,G134:J134)</x:f>
        <x:v>446</x:v>
      </x:c>
      <x:c r="L134" s="28" t="n">
        <x:v>95</x:v>
      </x:c>
      <x:c r="M134" s="28" t="n">
        <x:v>125</x:v>
      </x:c>
      <x:c r="N134" s="28" t="n">
        <x:v>79</x:v>
      </x:c>
      <x:c r="O134" s="28" t="n">
        <x:v>60</x:v>
      </x:c>
      <x:c r="P134" s="28" t="n">
        <x:v>100</x:v>
      </x:c>
      <x:c r="Q134" s="28" t="n">
        <x:v>81</x:v>
      </x:c>
      <x:c r="R134" s="30" t="str">
        <x:v>Strong STR/HP; future PATK lean</x:v>
      </x:c>
    </x:row>
    <x:row r="135">
      <x:c r="A135" s="28" t="n">
        <x:v>131</x:v>
      </x:c>
      <x:c r="B135" s="30" t="str">
        <x:v>Lapras</x:v>
      </x:c>
      <x:c r="C135" s="30" t="str">
        <x:v>Water / Ice</x:v>
      </x:c>
      <x:c r="D135" s="28" t="str">
        <x:f>IF(M135&gt;=O135*1.15,"Physical",IF(O135&gt;=M135*1.15,"Magic","Hybrid"))</x:f>
        <x:v>Hybrid</x:v>
      </x:c>
      <x:c r="E135" s="28" t="n">
        <x:f>L135</x:f>
        <x:v>130</x:v>
      </x:c>
      <x:c r="F135" s="28" t="n">
        <x:f>ROUND(MAX(20,0.45*O135+0.15*P135+0.05*Q135),0)</x:f>
        <x:v>56</x:v>
      </x:c>
      <x:c r="G135" s="28" t="n">
        <x:f>ROUND(0.8*M135+0.2*O135,0)</x:f>
        <x:v>85</x:v>
      </x:c>
      <x:c r="H135" s="28" t="n">
        <x:f>ROUND(0.65*N135+0.35*P135,0)</x:f>
        <x:v>85</x:v>
      </x:c>
      <x:c r="I135" s="28" t="n">
        <x:f>ROUND(0.65*O135+0.25*P135+0.1*Q135,0)</x:f>
        <x:v>85</x:v>
      </x:c>
      <x:c r="J135" s="28" t="n">
        <x:f>Q135</x:f>
        <x:v>60</x:v>
      </x:c>
      <x:c r="K135" s="28" t="n">
        <x:f>SUM(E135,G135:J135)</x:f>
        <x:v>445</x:v>
      </x:c>
      <x:c r="L135" s="28" t="n">
        <x:v>130</x:v>
      </x:c>
      <x:c r="M135" s="28" t="n">
        <x:v>85</x:v>
      </x:c>
      <x:c r="N135" s="28" t="n">
        <x:v>80</x:v>
      </x:c>
      <x:c r="O135" s="28" t="n">
        <x:v>85</x:v>
      </x:c>
      <x:c r="P135" s="28" t="n">
        <x:v>95</x:v>
      </x:c>
      <x:c r="Q135" s="28" t="n">
        <x:v>60</x:v>
      </x:c>
      <x:c r="R135" s="30" t="str">
        <x:v>Strong HP/STR</x:v>
      </x:c>
    </x:row>
    <x:row r="136">
      <x:c r="A136" s="28" t="n">
        <x:v>132</x:v>
      </x:c>
      <x:c r="B136" s="30" t="str">
        <x:v>Ditto</x:v>
      </x:c>
      <x:c r="C136" s="30" t="str">
        <x:v>Normal</x:v>
      </x:c>
      <x:c r="D136" s="28" t="str">
        <x:f>IF(M136&gt;=O136*1.15,"Physical",IF(O136&gt;=M136*1.15,"Magic","Hybrid"))</x:f>
        <x:v>Hybrid</x:v>
      </x:c>
      <x:c r="E136" s="28" t="n">
        <x:f>L136</x:f>
        <x:v>48</x:v>
      </x:c>
      <x:c r="F136" s="28" t="n">
        <x:f>ROUND(MAX(20,0.45*O136+0.15*P136+0.05*Q136),0)</x:f>
        <x:v>31</x:v>
      </x:c>
      <x:c r="G136" s="28" t="n">
        <x:f>ROUND(0.8*M136+0.2*O136,0)</x:f>
        <x:v>48</x:v>
      </x:c>
      <x:c r="H136" s="28" t="n">
        <x:f>ROUND(0.65*N136+0.35*P136,0)</x:f>
        <x:v>48</x:v>
      </x:c>
      <x:c r="I136" s="28" t="n">
        <x:f>ROUND(0.65*O136+0.25*P136+0.1*Q136,0)</x:f>
        <x:v>48</x:v>
      </x:c>
      <x:c r="J136" s="28" t="n">
        <x:f>Q136</x:f>
        <x:v>48</x:v>
      </x:c>
      <x:c r="K136" s="28" t="n">
        <x:f>SUM(E136,G136:J136)</x:f>
        <x:v>240</x:v>
      </x:c>
      <x:c r="L136" s="28" t="n">
        <x:v>48</x:v>
      </x:c>
      <x:c r="M136" s="28" t="n">
        <x:v>48</x:v>
      </x:c>
      <x:c r="N136" s="28" t="n">
        <x:v>48</x:v>
      </x:c>
      <x:c r="O136" s="28" t="n">
        <x:v>48</x:v>
      </x:c>
      <x:c r="P136" s="28" t="n">
        <x:v>48</x:v>
      </x:c>
      <x:c r="Q136" s="28" t="n">
        <x:v>48</x:v>
      </x:c>
      <x:c r="R136" s="30" t="str">
        <x:v>Strong HP/STR</x:v>
      </x:c>
    </x:row>
    <x:row r="137">
      <x:c r="A137" s="28" t="n">
        <x:v>133</x:v>
      </x:c>
      <x:c r="B137" s="30" t="str">
        <x:v>Eevee</x:v>
      </x:c>
      <x:c r="C137" s="30" t="str">
        <x:v>Normal</x:v>
      </x:c>
      <x:c r="D137" s="28" t="str">
        <x:f>IF(M137&gt;=O137*1.15,"Physical",IF(O137&gt;=M137*1.15,"Magic","Hybrid"))</x:f>
        <x:v>Physical</x:v>
      </x:c>
      <x:c r="E137" s="28" t="n">
        <x:f>L137</x:f>
        <x:v>55</x:v>
      </x:c>
      <x:c r="F137" s="28" t="n">
        <x:f>ROUND(MAX(20,0.45*O137+0.15*P137+0.05*Q137),0)</x:f>
        <x:v>33</x:v>
      </x:c>
      <x:c r="G137" s="28" t="n">
        <x:f>ROUND(0.8*M137+0.2*O137,0)</x:f>
        <x:v>53</x:v>
      </x:c>
      <x:c r="H137" s="28" t="n">
        <x:f>ROUND(0.65*N137+0.35*P137,0)</x:f>
        <x:v>55</x:v>
      </x:c>
      <x:c r="I137" s="28" t="n">
        <x:f>ROUND(0.65*O137+0.25*P137+0.1*Q137,0)</x:f>
        <x:v>51</x:v>
      </x:c>
      <x:c r="J137" s="28" t="n">
        <x:f>Q137</x:f>
        <x:v>55</x:v>
      </x:c>
      <x:c r="K137" s="28" t="n">
        <x:f>SUM(E137,G137:J137)</x:f>
        <x:v>269</x:v>
      </x:c>
      <x:c r="L137" s="28" t="n">
        <x:v>55</x:v>
      </x:c>
      <x:c r="M137" s="28" t="n">
        <x:v>55</x:v>
      </x:c>
      <x:c r="N137" s="28" t="n">
        <x:v>50</x:v>
      </x:c>
      <x:c r="O137" s="28" t="n">
        <x:v>45</x:v>
      </x:c>
      <x:c r="P137" s="28" t="n">
        <x:v>65</x:v>
      </x:c>
      <x:c r="Q137" s="28" t="n">
        <x:v>55</x:v>
      </x:c>
      <x:c r="R137" s="30" t="str">
        <x:v>Strong HP/DEF; future PATK lean</x:v>
      </x:c>
    </x:row>
    <x:row r="138">
      <x:c r="A138" s="28" t="n">
        <x:v>134</x:v>
      </x:c>
      <x:c r="B138" s="30" t="str">
        <x:v>Vaporeon</x:v>
      </x:c>
      <x:c r="C138" s="30" t="str">
        <x:v>Water</x:v>
      </x:c>
      <x:c r="D138" s="28" t="str">
        <x:f>IF(M138&gt;=O138*1.15,"Physical",IF(O138&gt;=M138*1.15,"Magic","Hybrid"))</x:f>
        <x:v>Magic</x:v>
      </x:c>
      <x:c r="E138" s="28" t="n">
        <x:f>L138</x:f>
        <x:v>130</x:v>
      </x:c>
      <x:c r="F138" s="28" t="n">
        <x:f>ROUND(MAX(20,0.45*O138+0.15*P138+0.05*Q138),0)</x:f>
        <x:v>67</x:v>
      </x:c>
      <x:c r="G138" s="28" t="n">
        <x:f>ROUND(0.8*M138+0.2*O138,0)</x:f>
        <x:v>74</x:v>
      </x:c>
      <x:c r="H138" s="28" t="n">
        <x:f>ROUND(0.65*N138+0.35*P138,0)</x:f>
        <x:v>72</x:v>
      </x:c>
      <x:c r="I138" s="28" t="n">
        <x:f>ROUND(0.65*O138+0.25*P138+0.1*Q138,0)</x:f>
        <x:v>102</x:v>
      </x:c>
      <x:c r="J138" s="28" t="n">
        <x:f>Q138</x:f>
        <x:v>65</x:v>
      </x:c>
      <x:c r="K138" s="28" t="n">
        <x:f>SUM(E138,G138:J138)</x:f>
        <x:v>443</x:v>
      </x:c>
      <x:c r="L138" s="28" t="n">
        <x:v>130</x:v>
      </x:c>
      <x:c r="M138" s="28" t="n">
        <x:v>65</x:v>
      </x:c>
      <x:c r="N138" s="28" t="n">
        <x:v>60</x:v>
      </x:c>
      <x:c r="O138" s="28" t="n">
        <x:v>110</x:v>
      </x:c>
      <x:c r="P138" s="28" t="n">
        <x:v>95</x:v>
      </x:c>
      <x:c r="Q138" s="28" t="n">
        <x:v>65</x:v>
      </x:c>
      <x:c r="R138" s="30" t="str">
        <x:v>Strong HP/INT; High MP; future MATK lean</x:v>
      </x:c>
    </x:row>
    <x:row r="139">
      <x:c r="A139" s="28" t="n">
        <x:v>135</x:v>
      </x:c>
      <x:c r="B139" s="30" t="str">
        <x:v>Jolteon</x:v>
      </x:c>
      <x:c r="C139" s="30" t="str">
        <x:v>Electric</x:v>
      </x:c>
      <x:c r="D139" s="28" t="str">
        <x:f>IF(M139&gt;=O139*1.15,"Physical",IF(O139&gt;=M139*1.15,"Magic","Hybrid"))</x:f>
        <x:v>Magic</x:v>
      </x:c>
      <x:c r="E139" s="28" t="n">
        <x:f>L139</x:f>
        <x:v>65</x:v>
      </x:c>
      <x:c r="F139" s="28" t="n">
        <x:f>ROUND(MAX(20,0.45*O139+0.15*P139+0.05*Q139),0)</x:f>
        <x:v>70</x:v>
      </x:c>
      <x:c r="G139" s="28" t="n">
        <x:f>ROUND(0.8*M139+0.2*O139,0)</x:f>
        <x:v>74</x:v>
      </x:c>
      <x:c r="H139" s="28" t="n">
        <x:f>ROUND(0.65*N139+0.35*P139,0)</x:f>
        <x:v>72</x:v>
      </x:c>
      <x:c r="I139" s="28" t="n">
        <x:f>ROUND(0.65*O139+0.25*P139+0.1*Q139,0)</x:f>
        <x:v>108</x:v>
      </x:c>
      <x:c r="J139" s="28" t="n">
        <x:f>Q139</x:f>
        <x:v>130</x:v>
      </x:c>
      <x:c r="K139" s="28" t="n">
        <x:f>SUM(E139,G139:J139)</x:f>
        <x:v>449</x:v>
      </x:c>
      <x:c r="L139" s="28" t="n">
        <x:v>65</x:v>
      </x:c>
      <x:c r="M139" s="28" t="n">
        <x:v>65</x:v>
      </x:c>
      <x:c r="N139" s="28" t="n">
        <x:v>60</x:v>
      </x:c>
      <x:c r="O139" s="28" t="n">
        <x:v>110</x:v>
      </x:c>
      <x:c r="P139" s="28" t="n">
        <x:v>95</x:v>
      </x:c>
      <x:c r="Q139" s="28" t="n">
        <x:v>130</x:v>
      </x:c>
      <x:c r="R139" s="30" t="str">
        <x:v>Strong SPD/INT; High MP; future MATK lean</x:v>
      </x:c>
    </x:row>
    <x:row r="140">
      <x:c r="A140" s="28" t="n">
        <x:v>136</x:v>
      </x:c>
      <x:c r="B140" s="30" t="str">
        <x:v>Flareon</x:v>
      </x:c>
      <x:c r="C140" s="30" t="str">
        <x:v>Fire</x:v>
      </x:c>
      <x:c r="D140" s="28" t="str">
        <x:f>IF(M140&gt;=O140*1.15,"Physical",IF(O140&gt;=M140*1.15,"Magic","Hybrid"))</x:f>
        <x:v>Physical</x:v>
      </x:c>
      <x:c r="E140" s="28" t="n">
        <x:f>L140</x:f>
        <x:v>65</x:v>
      </x:c>
      <x:c r="F140" s="28" t="n">
        <x:f>ROUND(MAX(20,0.45*O140+0.15*P140+0.05*Q140),0)</x:f>
        <x:v>63</x:v>
      </x:c>
      <x:c r="G140" s="28" t="n">
        <x:f>ROUND(0.8*M140+0.2*O140,0)</x:f>
        <x:v>123</x:v>
      </x:c>
      <x:c r="H140" s="28" t="n">
        <x:f>ROUND(0.65*N140+0.35*P140,0)</x:f>
        <x:v>78</x:v>
      </x:c>
      <x:c r="I140" s="28" t="n">
        <x:f>ROUND(0.65*O140+0.25*P140+0.1*Q140,0)</x:f>
        <x:v>96</x:v>
      </x:c>
      <x:c r="J140" s="28" t="n">
        <x:f>Q140</x:f>
        <x:v>65</x:v>
      </x:c>
      <x:c r="K140" s="28" t="n">
        <x:f>SUM(E140,G140:J140)</x:f>
        <x:v>427</x:v>
      </x:c>
      <x:c r="L140" s="28" t="n">
        <x:v>65</x:v>
      </x:c>
      <x:c r="M140" s="28" t="n">
        <x:v>130</x:v>
      </x:c>
      <x:c r="N140" s="28" t="n">
        <x:v>60</x:v>
      </x:c>
      <x:c r="O140" s="28" t="n">
        <x:v>95</x:v>
      </x:c>
      <x:c r="P140" s="28" t="n">
        <x:v>110</x:v>
      </x:c>
      <x:c r="Q140" s="28" t="n">
        <x:v>65</x:v>
      </x:c>
      <x:c r="R140" s="30" t="str">
        <x:v>Strong STR/INT; High MP; future PATK lean</x:v>
      </x:c>
    </x:row>
    <x:row r="141">
      <x:c r="A141" s="28" t="n">
        <x:v>137</x:v>
      </x:c>
      <x:c r="B141" s="30" t="str">
        <x:v>Porygon</x:v>
      </x:c>
      <x:c r="C141" s="30" t="str">
        <x:v>Normal</x:v>
      </x:c>
      <x:c r="D141" s="28" t="str">
        <x:f>IF(M141&gt;=O141*1.15,"Physical",IF(O141&gt;=M141*1.15,"Magic","Hybrid"))</x:f>
        <x:v>Magic</x:v>
      </x:c>
      <x:c r="E141" s="28" t="n">
        <x:f>L141</x:f>
        <x:v>65</x:v>
      </x:c>
      <x:c r="F141" s="28" t="n">
        <x:f>ROUND(MAX(20,0.45*O141+0.15*P141+0.05*Q141),0)</x:f>
        <x:v>52</x:v>
      </x:c>
      <x:c r="G141" s="28" t="n">
        <x:f>ROUND(0.8*M141+0.2*O141,0)</x:f>
        <x:v>65</x:v>
      </x:c>
      <x:c r="H141" s="28" t="n">
        <x:f>ROUND(0.65*N141+0.35*P141,0)</x:f>
        <x:v>72</x:v>
      </x:c>
      <x:c r="I141" s="28" t="n">
        <x:f>ROUND(0.65*O141+0.25*P141+0.1*Q141,0)</x:f>
        <x:v>78</x:v>
      </x:c>
      <x:c r="J141" s="28" t="n">
        <x:f>Q141</x:f>
        <x:v>40</x:v>
      </x:c>
      <x:c r="K141" s="28" t="n">
        <x:f>SUM(E141,G141:J141)</x:f>
        <x:v>320</x:v>
      </x:c>
      <x:c r="L141" s="28" t="n">
        <x:v>65</x:v>
      </x:c>
      <x:c r="M141" s="28" t="n">
        <x:v>60</x:v>
      </x:c>
      <x:c r="N141" s="28" t="n">
        <x:v>70</x:v>
      </x:c>
      <x:c r="O141" s="28" t="n">
        <x:v>85</x:v>
      </x:c>
      <x:c r="P141" s="28" t="n">
        <x:v>75</x:v>
      </x:c>
      <x:c r="Q141" s="28" t="n">
        <x:v>40</x:v>
      </x:c>
      <x:c r="R141" s="30" t="str">
        <x:v>Strong INT/DEF; future MATK lean</x:v>
      </x:c>
    </x:row>
    <x:row r="142">
      <x:c r="A142" s="28" t="n">
        <x:v>138</x:v>
      </x:c>
      <x:c r="B142" s="30" t="str">
        <x:v>Omanyte</x:v>
      </x:c>
      <x:c r="C142" s="30" t="str">
        <x:v>Rock / Water</x:v>
      </x:c>
      <x:c r="D142" s="28" t="str">
        <x:f>IF(M142&gt;=O142*1.15,"Physical",IF(O142&gt;=M142*1.15,"Magic","Hybrid"))</x:f>
        <x:v>Magic</x:v>
      </x:c>
      <x:c r="E142" s="28" t="n">
        <x:f>L142</x:f>
        <x:v>35</x:v>
      </x:c>
      <x:c r="F142" s="28" t="n">
        <x:f>ROUND(MAX(20,0.45*O142+0.15*P142+0.05*Q142),0)</x:f>
        <x:v>51</x:v>
      </x:c>
      <x:c r="G142" s="28" t="n">
        <x:f>ROUND(0.8*M142+0.2*O142,0)</x:f>
        <x:v>50</x:v>
      </x:c>
      <x:c r="H142" s="28" t="n">
        <x:f>ROUND(0.65*N142+0.35*P142,0)</x:f>
        <x:v>84</x:v>
      </x:c>
      <x:c r="I142" s="28" t="n">
        <x:f>ROUND(0.65*O142+0.25*P142+0.1*Q142,0)</x:f>
        <x:v>76</x:v>
      </x:c>
      <x:c r="J142" s="28" t="n">
        <x:f>Q142</x:f>
        <x:v>35</x:v>
      </x:c>
      <x:c r="K142" s="28" t="n">
        <x:f>SUM(E142,G142:J142)</x:f>
        <x:v>280</x:v>
      </x:c>
      <x:c r="L142" s="28" t="n">
        <x:v>35</x:v>
      </x:c>
      <x:c r="M142" s="28" t="n">
        <x:v>40</x:v>
      </x:c>
      <x:c r="N142" s="28" t="n">
        <x:v>100</x:v>
      </x:c>
      <x:c r="O142" s="28" t="n">
        <x:v>90</x:v>
      </x:c>
      <x:c r="P142" s="28" t="n">
        <x:v>55</x:v>
      </x:c>
      <x:c r="Q142" s="28" t="n">
        <x:v>35</x:v>
      </x:c>
      <x:c r="R142" s="30" t="str">
        <x:v>Strong DEF/INT; future MATK lean</x:v>
      </x:c>
    </x:row>
    <x:row r="143">
      <x:c r="A143" s="28" t="n">
        <x:v>139</x:v>
      </x:c>
      <x:c r="B143" s="30" t="str">
        <x:v>Omastar</x:v>
      </x:c>
      <x:c r="C143" s="30" t="str">
        <x:v>Rock / Water</x:v>
      </x:c>
      <x:c r="D143" s="28" t="str">
        <x:f>IF(M143&gt;=O143*1.15,"Physical",IF(O143&gt;=M143*1.15,"Magic","Hybrid"))</x:f>
        <x:v>Magic</x:v>
      </x:c>
      <x:c r="E143" s="28" t="n">
        <x:f>L143</x:f>
        <x:v>70</x:v>
      </x:c>
      <x:c r="F143" s="28" t="n">
        <x:f>ROUND(MAX(20,0.45*O143+0.15*P143+0.05*Q143),0)</x:f>
        <x:v>65</x:v>
      </x:c>
      <x:c r="G143" s="28" t="n">
        <x:f>ROUND(0.8*M143+0.2*O143,0)</x:f>
        <x:v>71</x:v>
      </x:c>
      <x:c r="H143" s="28" t="n">
        <x:f>ROUND(0.65*N143+0.35*P143,0)</x:f>
        <x:v>106</x:v>
      </x:c>
      <x:c r="I143" s="28" t="n">
        <x:f>ROUND(0.65*O143+0.25*P143+0.1*Q143,0)</x:f>
        <x:v>98</x:v>
      </x:c>
      <x:c r="J143" s="28" t="n">
        <x:f>Q143</x:f>
        <x:v>55</x:v>
      </x:c>
      <x:c r="K143" s="28" t="n">
        <x:f>SUM(E143,G143:J143)</x:f>
        <x:v>400</x:v>
      </x:c>
      <x:c r="L143" s="28" t="n">
        <x:v>70</x:v>
      </x:c>
      <x:c r="M143" s="28" t="n">
        <x:v>60</x:v>
      </x:c>
      <x:c r="N143" s="28" t="n">
        <x:v>125</x:v>
      </x:c>
      <x:c r="O143" s="28" t="n">
        <x:v>115</x:v>
      </x:c>
      <x:c r="P143" s="28" t="n">
        <x:v>70</x:v>
      </x:c>
      <x:c r="Q143" s="28" t="n">
        <x:v>55</x:v>
      </x:c>
      <x:c r="R143" s="30" t="str">
        <x:v>Strong DEF/INT; High MP; future MATK lean</x:v>
      </x:c>
    </x:row>
    <x:row r="144">
      <x:c r="A144" s="28" t="n">
        <x:v>140</x:v>
      </x:c>
      <x:c r="B144" s="30" t="str">
        <x:v>Kabuto</x:v>
      </x:c>
      <x:c r="C144" s="30" t="str">
        <x:v>Rock / Water</x:v>
      </x:c>
      <x:c r="D144" s="28" t="str">
        <x:f>IF(M144&gt;=O144*1.15,"Physical",IF(O144&gt;=M144*1.15,"Magic","Hybrid"))</x:f>
        <x:v>Physical</x:v>
      </x:c>
      <x:c r="E144" s="28" t="n">
        <x:f>L144</x:f>
        <x:v>30</x:v>
      </x:c>
      <x:c r="F144" s="28" t="n">
        <x:f>ROUND(MAX(20,0.45*O144+0.15*P144+0.05*Q144),0)</x:f>
        <x:v>34</x:v>
      </x:c>
      <x:c r="G144" s="28" t="n">
        <x:f>ROUND(0.8*M144+0.2*O144,0)</x:f>
        <x:v>75</x:v>
      </x:c>
      <x:c r="H144" s="28" t="n">
        <x:f>ROUND(0.65*N144+0.35*P144,0)</x:f>
        <x:v>74</x:v>
      </x:c>
      <x:c r="I144" s="28" t="n">
        <x:f>ROUND(0.65*O144+0.25*P144+0.1*Q144,0)</x:f>
        <x:v>53</x:v>
      </x:c>
      <x:c r="J144" s="28" t="n">
        <x:f>Q144</x:f>
        <x:v>55</x:v>
      </x:c>
      <x:c r="K144" s="28" t="n">
        <x:f>SUM(E144,G144:J144)</x:f>
        <x:v>287</x:v>
      </x:c>
      <x:c r="L144" s="28" t="n">
        <x:v>30</x:v>
      </x:c>
      <x:c r="M144" s="28" t="n">
        <x:v>80</x:v>
      </x:c>
      <x:c r="N144" s="28" t="n">
        <x:v>90</x:v>
      </x:c>
      <x:c r="O144" s="28" t="n">
        <x:v>55</x:v>
      </x:c>
      <x:c r="P144" s="28" t="n">
        <x:v>45</x:v>
      </x:c>
      <x:c r="Q144" s="28" t="n">
        <x:v>55</x:v>
      </x:c>
      <x:c r="R144" s="30" t="str">
        <x:v>Strong STR/DEF; future PATK lean</x:v>
      </x:c>
    </x:row>
    <x:row r="145">
      <x:c r="A145" s="28" t="n">
        <x:v>141</x:v>
      </x:c>
      <x:c r="B145" s="30" t="str">
        <x:v>Kabutops</x:v>
      </x:c>
      <x:c r="C145" s="30" t="str">
        <x:v>Rock / Water</x:v>
      </x:c>
      <x:c r="D145" s="28" t="str">
        <x:f>IF(M145&gt;=O145*1.15,"Physical",IF(O145&gt;=M145*1.15,"Magic","Hybrid"))</x:f>
        <x:v>Physical</x:v>
      </x:c>
      <x:c r="E145" s="28" t="n">
        <x:f>L145</x:f>
        <x:v>60</x:v>
      </x:c>
      <x:c r="F145" s="28" t="n">
        <x:f>ROUND(MAX(20,0.45*O145+0.15*P145+0.05*Q145),0)</x:f>
        <x:v>44</x:v>
      </x:c>
      <x:c r="G145" s="28" t="n">
        <x:f>ROUND(0.8*M145+0.2*O145,0)</x:f>
        <x:v>105</x:v>
      </x:c>
      <x:c r="H145" s="28" t="n">
        <x:f>ROUND(0.65*N145+0.35*P145,0)</x:f>
        <x:v>93</x:v>
      </x:c>
      <x:c r="I145" s="28" t="n">
        <x:f>ROUND(0.65*O145+0.25*P145+0.1*Q145,0)</x:f>
        <x:v>68</x:v>
      </x:c>
      <x:c r="J145" s="28" t="n">
        <x:f>Q145</x:f>
        <x:v>80</x:v>
      </x:c>
      <x:c r="K145" s="28" t="n">
        <x:f>SUM(E145,G145:J145)</x:f>
        <x:v>406</x:v>
      </x:c>
      <x:c r="L145" s="28" t="n">
        <x:v>60</x:v>
      </x:c>
      <x:c r="M145" s="28" t="n">
        <x:v>115</x:v>
      </x:c>
      <x:c r="N145" s="28" t="n">
        <x:v>105</x:v>
      </x:c>
      <x:c r="O145" s="28" t="n">
        <x:v>65</x:v>
      </x:c>
      <x:c r="P145" s="28" t="n">
        <x:v>70</x:v>
      </x:c>
      <x:c r="Q145" s="28" t="n">
        <x:v>80</x:v>
      </x:c>
      <x:c r="R145" s="30" t="str">
        <x:v>Strong STR/DEF; future PATK lean</x:v>
      </x:c>
    </x:row>
    <x:row r="146">
      <x:c r="A146" s="28" t="n">
        <x:v>142</x:v>
      </x:c>
      <x:c r="B146" s="30" t="str">
        <x:v>Aerodactyl</x:v>
      </x:c>
      <x:c r="C146" s="30" t="str">
        <x:v>Rock / Flying</x:v>
      </x:c>
      <x:c r="D146" s="28" t="str">
        <x:f>IF(M146&gt;=O146*1.15,"Physical",IF(O146&gt;=M146*1.15,"Magic","Hybrid"))</x:f>
        <x:v>Physical</x:v>
      </x:c>
      <x:c r="E146" s="28" t="n">
        <x:f>L146</x:f>
        <x:v>80</x:v>
      </x:c>
      <x:c r="F146" s="28" t="n">
        <x:f>ROUND(MAX(20,0.45*O146+0.15*P146+0.05*Q146),0)</x:f>
        <x:v>45</x:v>
      </x:c>
      <x:c r="G146" s="28" t="n">
        <x:f>ROUND(0.8*M146+0.2*O146,0)</x:f>
        <x:v>96</x:v>
      </x:c>
      <x:c r="H146" s="28" t="n">
        <x:f>ROUND(0.65*N146+0.35*P146,0)</x:f>
        <x:v>69</x:v>
      </x:c>
      <x:c r="I146" s="28" t="n">
        <x:f>ROUND(0.65*O146+0.25*P146+0.1*Q146,0)</x:f>
        <x:v>71</x:v>
      </x:c>
      <x:c r="J146" s="28" t="n">
        <x:f>Q146</x:f>
        <x:v>130</x:v>
      </x:c>
      <x:c r="K146" s="28" t="n">
        <x:f>SUM(E146,G146:J146)</x:f>
        <x:v>446</x:v>
      </x:c>
      <x:c r="L146" s="28" t="n">
        <x:v>80</x:v>
      </x:c>
      <x:c r="M146" s="28" t="n">
        <x:v>105</x:v>
      </x:c>
      <x:c r="N146" s="28" t="n">
        <x:v>65</x:v>
      </x:c>
      <x:c r="O146" s="28" t="n">
        <x:v>60</x:v>
      </x:c>
      <x:c r="P146" s="28" t="n">
        <x:v>75</x:v>
      </x:c>
      <x:c r="Q146" s="28" t="n">
        <x:v>130</x:v>
      </x:c>
      <x:c r="R146" s="30" t="str">
        <x:v>Strong SPD/STR; future PATK lean</x:v>
      </x:c>
    </x:row>
    <x:row r="147">
      <x:c r="A147" s="28" t="n">
        <x:v>143</x:v>
      </x:c>
      <x:c r="B147" s="30" t="str">
        <x:v>Snorlax</x:v>
      </x:c>
      <x:c r="C147" s="30" t="str">
        <x:v>Normal</x:v>
      </x:c>
      <x:c r="D147" s="28" t="str">
        <x:f>IF(M147&gt;=O147*1.15,"Physical",IF(O147&gt;=M147*1.15,"Magic","Hybrid"))</x:f>
        <x:v>Physical</x:v>
      </x:c>
      <x:c r="E147" s="28" t="n">
        <x:f>L147</x:f>
        <x:v>160</x:v>
      </x:c>
      <x:c r="F147" s="28" t="n">
        <x:f>ROUND(MAX(20,0.45*O147+0.15*P147+0.05*Q147),0)</x:f>
        <x:v>47</x:v>
      </x:c>
      <x:c r="G147" s="28" t="n">
        <x:f>ROUND(0.8*M147+0.2*O147,0)</x:f>
        <x:v>101</x:v>
      </x:c>
      <x:c r="H147" s="28" t="n">
        <x:f>ROUND(0.65*N147+0.35*P147,0)</x:f>
        <x:v>81</x:v>
      </x:c>
      <x:c r="I147" s="28" t="n">
        <x:f>ROUND(0.65*O147+0.25*P147+0.1*Q147,0)</x:f>
        <x:v>73</x:v>
      </x:c>
      <x:c r="J147" s="28" t="n">
        <x:f>Q147</x:f>
        <x:v>30</x:v>
      </x:c>
      <x:c r="K147" s="28" t="n">
        <x:f>SUM(E147,G147:J147)</x:f>
        <x:v>445</x:v>
      </x:c>
      <x:c r="L147" s="28" t="n">
        <x:v>160</x:v>
      </x:c>
      <x:c r="M147" s="28" t="n">
        <x:v>110</x:v>
      </x:c>
      <x:c r="N147" s="28" t="n">
        <x:v>65</x:v>
      </x:c>
      <x:c r="O147" s="28" t="n">
        <x:v>65</x:v>
      </x:c>
      <x:c r="P147" s="28" t="n">
        <x:v>110</x:v>
      </x:c>
      <x:c r="Q147" s="28" t="n">
        <x:v>30</x:v>
      </x:c>
      <x:c r="R147" s="30" t="str">
        <x:v>Strong HP/STR; future PATK lean</x:v>
      </x:c>
    </x:row>
    <x:row r="148">
      <x:c r="A148" s="28" t="n">
        <x:v>144</x:v>
      </x:c>
      <x:c r="B148" s="30" t="str">
        <x:v>Articuno</x:v>
      </x:c>
      <x:c r="C148" s="30" t="str">
        <x:v>Ice / Flying</x:v>
      </x:c>
      <x:c r="D148" s="28" t="str">
        <x:f>IF(M148&gt;=O148*1.15,"Physical",IF(O148&gt;=M148*1.15,"Magic","Hybrid"))</x:f>
        <x:v>Hybrid</x:v>
      </x:c>
      <x:c r="E148" s="28" t="n">
        <x:f>L148</x:f>
        <x:v>90</x:v>
      </x:c>
      <x:c r="F148" s="28" t="n">
        <x:f>ROUND(MAX(20,0.45*O148+0.15*P148+0.05*Q148),0)</x:f>
        <x:v>66</x:v>
      </x:c>
      <x:c r="G148" s="28" t="n">
        <x:f>ROUND(0.8*M148+0.2*O148,0)</x:f>
        <x:v>87</x:v>
      </x:c>
      <x:c r="H148" s="28" t="n">
        <x:f>ROUND(0.65*N148+0.35*P148,0)</x:f>
        <x:v>109</x:v>
      </x:c>
      <x:c r="I148" s="28" t="n">
        <x:f>ROUND(0.65*O148+0.25*P148+0.1*Q148,0)</x:f>
        <x:v>102</x:v>
      </x:c>
      <x:c r="J148" s="28" t="n">
        <x:f>Q148</x:f>
        <x:v>85</x:v>
      </x:c>
      <x:c r="K148" s="28" t="n">
        <x:f>SUM(E148,G148:J148)</x:f>
        <x:v>473</x:v>
      </x:c>
      <x:c r="L148" s="28" t="n">
        <x:v>90</x:v>
      </x:c>
      <x:c r="M148" s="28" t="n">
        <x:v>85</x:v>
      </x:c>
      <x:c r="N148" s="28" t="n">
        <x:v>100</x:v>
      </x:c>
      <x:c r="O148" s="28" t="n">
        <x:v>95</x:v>
      </x:c>
      <x:c r="P148" s="28" t="n">
        <x:v>125</x:v>
      </x:c>
      <x:c r="Q148" s="28" t="n">
        <x:v>85</x:v>
      </x:c>
      <x:c r="R148" s="30" t="str">
        <x:v>Strong DEF/INT; High MP</x:v>
      </x:c>
    </x:row>
    <x:row r="149">
      <x:c r="A149" s="28" t="n">
        <x:v>145</x:v>
      </x:c>
      <x:c r="B149" s="30" t="str">
        <x:v>Zapdos</x:v>
      </x:c>
      <x:c r="C149" s="30" t="str">
        <x:v>Electric / Flying</x:v>
      </x:c>
      <x:c r="D149" s="28" t="str">
        <x:f>IF(M149&gt;=O149*1.15,"Physical",IF(O149&gt;=M149*1.15,"Magic","Hybrid"))</x:f>
        <x:v>Magic</x:v>
      </x:c>
      <x:c r="E149" s="28" t="n">
        <x:f>L149</x:f>
        <x:v>90</x:v>
      </x:c>
      <x:c r="F149" s="28" t="n">
        <x:f>ROUND(MAX(20,0.45*O149+0.15*P149+0.05*Q149),0)</x:f>
        <x:v>75</x:v>
      </x:c>
      <x:c r="G149" s="28" t="n">
        <x:f>ROUND(0.8*M149+0.2*O149,0)</x:f>
        <x:v>97</x:v>
      </x:c>
      <x:c r="H149" s="28" t="n">
        <x:f>ROUND(0.65*N149+0.35*P149,0)</x:f>
        <x:v>87</x:v>
      </x:c>
      <x:c r="I149" s="28" t="n">
        <x:f>ROUND(0.65*O149+0.25*P149+0.1*Q149,0)</x:f>
        <x:v>114</x:v>
      </x:c>
      <x:c r="J149" s="28" t="n">
        <x:f>Q149</x:f>
        <x:v>100</x:v>
      </x:c>
      <x:c r="K149" s="28" t="n">
        <x:f>SUM(E149,G149:J149)</x:f>
        <x:v>488</x:v>
      </x:c>
      <x:c r="L149" s="28" t="n">
        <x:v>90</x:v>
      </x:c>
      <x:c r="M149" s="28" t="n">
        <x:v>90</x:v>
      </x:c>
      <x:c r="N149" s="28" t="n">
        <x:v>85</x:v>
      </x:c>
      <x:c r="O149" s="28" t="n">
        <x:v>125</x:v>
      </x:c>
      <x:c r="P149" s="28" t="n">
        <x:v>90</x:v>
      </x:c>
      <x:c r="Q149" s="28" t="n">
        <x:v>100</x:v>
      </x:c>
      <x:c r="R149" s="30" t="str">
        <x:v>Strong INT/SPD; High MP; future MATK lean</x:v>
      </x:c>
    </x:row>
    <x:row r="150">
      <x:c r="A150" s="28" t="n">
        <x:v>146</x:v>
      </x:c>
      <x:c r="B150" s="30" t="str">
        <x:v>Moltres</x:v>
      </x:c>
      <x:c r="C150" s="30" t="str">
        <x:v>Fire / Flying</x:v>
      </x:c>
      <x:c r="D150" s="28" t="str">
        <x:f>IF(M150&gt;=O150*1.15,"Physical",IF(O150&gt;=M150*1.15,"Magic","Hybrid"))</x:f>
        <x:v>Magic</x:v>
      </x:c>
      <x:c r="E150" s="28" t="n">
        <x:f>L150</x:f>
        <x:v>90</x:v>
      </x:c>
      <x:c r="F150" s="28" t="n">
        <x:f>ROUND(MAX(20,0.45*O150+0.15*P150+0.05*Q150),0)</x:f>
        <x:v>74</x:v>
      </x:c>
      <x:c r="G150" s="28" t="n">
        <x:f>ROUND(0.8*M150+0.2*O150,0)</x:f>
        <x:v>105</x:v>
      </x:c>
      <x:c r="H150" s="28" t="n">
        <x:f>ROUND(0.65*N150+0.35*P150,0)</x:f>
        <x:v>88</x:v>
      </x:c>
      <x:c r="I150" s="28" t="n">
        <x:f>ROUND(0.65*O150+0.25*P150+0.1*Q150,0)</x:f>
        <x:v>112</x:v>
      </x:c>
      <x:c r="J150" s="28" t="n">
        <x:f>Q150</x:f>
        <x:v>90</x:v>
      </x:c>
      <x:c r="K150" s="28" t="n">
        <x:f>SUM(E150,G150:J150)</x:f>
        <x:v>485</x:v>
      </x:c>
      <x:c r="L150" s="28" t="n">
        <x:v>90</x:v>
      </x:c>
      <x:c r="M150" s="28" t="n">
        <x:v>100</x:v>
      </x:c>
      <x:c r="N150" s="28" t="n">
        <x:v>90</x:v>
      </x:c>
      <x:c r="O150" s="28" t="n">
        <x:v>125</x:v>
      </x:c>
      <x:c r="P150" s="28" t="n">
        <x:v>85</x:v>
      </x:c>
      <x:c r="Q150" s="28" t="n">
        <x:v>90</x:v>
      </x:c>
      <x:c r="R150" s="30" t="str">
        <x:v>Strong INT/STR; High MP; future MATK lean</x:v>
      </x:c>
    </x:row>
    <x:row r="151">
      <x:c r="A151" s="28" t="n">
        <x:v>147</x:v>
      </x:c>
      <x:c r="B151" s="30" t="str">
        <x:v>Dratini</x:v>
      </x:c>
      <x:c r="C151" s="30" t="str">
        <x:v>Dragon</x:v>
      </x:c>
      <x:c r="D151" s="28" t="str">
        <x:f>IF(M151&gt;=O151*1.15,"Physical",IF(O151&gt;=M151*1.15,"Magic","Hybrid"))</x:f>
        <x:v>Physical</x:v>
      </x:c>
      <x:c r="E151" s="28" t="n">
        <x:f>L151</x:f>
        <x:v>41</x:v>
      </x:c>
      <x:c r="F151" s="28" t="n">
        <x:f>ROUND(MAX(20,0.45*O151+0.15*P151+0.05*Q151),0)</x:f>
        <x:v>33</x:v>
      </x:c>
      <x:c r="G151" s="28" t="n">
        <x:f>ROUND(0.8*M151+0.2*O151,0)</x:f>
        <x:v>61</x:v>
      </x:c>
      <x:c r="H151" s="28" t="n">
        <x:f>ROUND(0.65*N151+0.35*P151,0)</x:f>
        <x:v>47</x:v>
      </x:c>
      <x:c r="I151" s="28" t="n">
        <x:f>ROUND(0.65*O151+0.25*P151+0.1*Q151,0)</x:f>
        <x:v>50</x:v>
      </x:c>
      <x:c r="J151" s="28" t="n">
        <x:f>Q151</x:f>
        <x:v>50</x:v>
      </x:c>
      <x:c r="K151" s="28" t="n">
        <x:f>SUM(E151,G151:J151)</x:f>
        <x:v>249</x:v>
      </x:c>
      <x:c r="L151" s="28" t="n">
        <x:v>41</x:v>
      </x:c>
      <x:c r="M151" s="28" t="n">
        <x:v>64</x:v>
      </x:c>
      <x:c r="N151" s="28" t="n">
        <x:v>45</x:v>
      </x:c>
      <x:c r="O151" s="28" t="n">
        <x:v>50</x:v>
      </x:c>
      <x:c r="P151" s="28" t="n">
        <x:v>50</x:v>
      </x:c>
      <x:c r="Q151" s="28" t="n">
        <x:v>50</x:v>
      </x:c>
      <x:c r="R151" s="30" t="str">
        <x:v>Strong STR/INT; future PATK lean</x:v>
      </x:c>
    </x:row>
    <x:row r="152">
      <x:c r="A152" s="28" t="n">
        <x:v>148</x:v>
      </x:c>
      <x:c r="B152" s="30" t="str">
        <x:v>Dragonair</x:v>
      </x:c>
      <x:c r="C152" s="30" t="str">
        <x:v>Dragon</x:v>
      </x:c>
      <x:c r="D152" s="28" t="str">
        <x:f>IF(M152&gt;=O152*1.15,"Physical",IF(O152&gt;=M152*1.15,"Magic","Hybrid"))</x:f>
        <x:v>Physical</x:v>
      </x:c>
      <x:c r="E152" s="28" t="n">
        <x:f>L152</x:f>
        <x:v>61</x:v>
      </x:c>
      <x:c r="F152" s="28" t="n">
        <x:f>ROUND(MAX(20,0.45*O152+0.15*P152+0.05*Q152),0)</x:f>
        <x:v>46</x:v>
      </x:c>
      <x:c r="G152" s="28" t="n">
        <x:f>ROUND(0.8*M152+0.2*O152,0)</x:f>
        <x:v>81</x:v>
      </x:c>
      <x:c r="H152" s="28" t="n">
        <x:f>ROUND(0.65*N152+0.35*P152,0)</x:f>
        <x:v>67</x:v>
      </x:c>
      <x:c r="I152" s="28" t="n">
        <x:f>ROUND(0.65*O152+0.25*P152+0.1*Q152,0)</x:f>
        <x:v>70</x:v>
      </x:c>
      <x:c r="J152" s="28" t="n">
        <x:f>Q152</x:f>
        <x:v>70</x:v>
      </x:c>
      <x:c r="K152" s="28" t="n">
        <x:f>SUM(E152,G152:J152)</x:f>
        <x:v>349</x:v>
      </x:c>
      <x:c r="L152" s="28" t="n">
        <x:v>61</x:v>
      </x:c>
      <x:c r="M152" s="28" t="n">
        <x:v>84</x:v>
      </x:c>
      <x:c r="N152" s="28" t="n">
        <x:v>65</x:v>
      </x:c>
      <x:c r="O152" s="28" t="n">
        <x:v>70</x:v>
      </x:c>
      <x:c r="P152" s="28" t="n">
        <x:v>70</x:v>
      </x:c>
      <x:c r="Q152" s="28" t="n">
        <x:v>70</x:v>
      </x:c>
      <x:c r="R152" s="30" t="str">
        <x:v>Strong STR/INT; future PATK lean</x:v>
      </x:c>
    </x:row>
    <x:row r="153">
      <x:c r="A153" s="28" t="n">
        <x:v>149</x:v>
      </x:c>
      <x:c r="B153" s="30" t="str">
        <x:v>Dragonite</x:v>
      </x:c>
      <x:c r="C153" s="30" t="str">
        <x:v>Dragon / Flying</x:v>
      </x:c>
      <x:c r="D153" s="28" t="str">
        <x:f>IF(M153&gt;=O153*1.15,"Physical",IF(O153&gt;=M153*1.15,"Magic","Hybrid"))</x:f>
        <x:v>Physical</x:v>
      </x:c>
      <x:c r="E153" s="28" t="n">
        <x:f>L153</x:f>
        <x:v>91</x:v>
      </x:c>
      <x:c r="F153" s="28" t="n">
        <x:f>ROUND(MAX(20,0.45*O153+0.15*P153+0.05*Q153),0)</x:f>
        <x:v>64</x:v>
      </x:c>
      <x:c r="G153" s="28" t="n">
        <x:f>ROUND(0.8*M153+0.2*O153,0)</x:f>
        <x:v>127</x:v>
      </x:c>
      <x:c r="H153" s="28" t="n">
        <x:f>ROUND(0.65*N153+0.35*P153,0)</x:f>
        <x:v>97</x:v>
      </x:c>
      <x:c r="I153" s="28" t="n">
        <x:f>ROUND(0.65*O153+0.25*P153+0.1*Q153,0)</x:f>
        <x:v>98</x:v>
      </x:c>
      <x:c r="J153" s="28" t="n">
        <x:f>Q153</x:f>
        <x:v>80</x:v>
      </x:c>
      <x:c r="K153" s="28" t="n">
        <x:f>SUM(E153,G153:J153)</x:f>
        <x:v>493</x:v>
      </x:c>
      <x:c r="L153" s="28" t="n">
        <x:v>91</x:v>
      </x:c>
      <x:c r="M153" s="28" t="n">
        <x:v>134</x:v>
      </x:c>
      <x:c r="N153" s="28" t="n">
        <x:v>95</x:v>
      </x:c>
      <x:c r="O153" s="28" t="n">
        <x:v>100</x:v>
      </x:c>
      <x:c r="P153" s="28" t="n">
        <x:v>100</x:v>
      </x:c>
      <x:c r="Q153" s="28" t="n">
        <x:v>80</x:v>
      </x:c>
      <x:c r="R153" s="30" t="str">
        <x:v>Strong STR/INT; High MP; future PATK lean</x:v>
      </x:c>
    </x:row>
    <x:row r="154">
      <x:c r="A154" s="28" t="n">
        <x:v>150</x:v>
      </x:c>
      <x:c r="B154" s="30" t="str">
        <x:v>Mewtwo</x:v>
      </x:c>
      <x:c r="C154" s="30" t="str">
        <x:v>Psychic</x:v>
      </x:c>
      <x:c r="D154" s="28" t="str">
        <x:f>IF(M154&gt;=O154*1.15,"Physical",IF(O154&gt;=M154*1.15,"Magic","Hybrid"))</x:f>
        <x:v>Magic</x:v>
      </x:c>
      <x:c r="E154" s="28" t="n">
        <x:f>L154</x:f>
        <x:v>106</x:v>
      </x:c>
      <x:c r="F154" s="28" t="n">
        <x:f>ROUND(MAX(20,0.45*O154+0.15*P154+0.05*Q154),0)</x:f>
        <x:v>89</x:v>
      </x:c>
      <x:c r="G154" s="28" t="n">
        <x:f>ROUND(0.8*M154+0.2*O154,0)</x:f>
        <x:v>119</x:v>
      </x:c>
      <x:c r="H154" s="28" t="n">
        <x:f>ROUND(0.65*N154+0.35*P154,0)</x:f>
        <x:v>90</x:v>
      </x:c>
      <x:c r="I154" s="28" t="n">
        <x:f>ROUND(0.65*O154+0.25*P154+0.1*Q154,0)</x:f>
        <x:v>136</x:v>
      </x:c>
      <x:c r="J154" s="28" t="n">
        <x:f>Q154</x:f>
        <x:v>130</x:v>
      </x:c>
      <x:c r="K154" s="28" t="n">
        <x:f>SUM(E154,G154:J154)</x:f>
        <x:v>581</x:v>
      </x:c>
      <x:c r="L154" s="28" t="n">
        <x:v>106</x:v>
      </x:c>
      <x:c r="M154" s="28" t="n">
        <x:v>110</x:v>
      </x:c>
      <x:c r="N154" s="28" t="n">
        <x:v>90</x:v>
      </x:c>
      <x:c r="O154" s="28" t="n">
        <x:v>154</x:v>
      </x:c>
      <x:c r="P154" s="28" t="n">
        <x:v>90</x:v>
      </x:c>
      <x:c r="Q154" s="28" t="n">
        <x:v>130</x:v>
      </x:c>
      <x:c r="R154" s="30" t="str">
        <x:v>Strong INT/SPD; High MP; future MATK lean</x:v>
      </x:c>
    </x:row>
    <x:row r="155">
      <x:c r="A155" s="28" t="n">
        <x:v>151</x:v>
      </x:c>
      <x:c r="B155" s="30" t="str">
        <x:v>Mew</x:v>
      </x:c>
      <x:c r="C155" s="30" t="str">
        <x:v>Psychic</x:v>
      </x:c>
      <x:c r="D155" s="28" t="str">
        <x:f>IF(M155&gt;=O155*1.15,"Physical",IF(O155&gt;=M155*1.15,"Magic","Hybrid"))</x:f>
        <x:v>Hybrid</x:v>
      </x:c>
      <x:c r="E155" s="28" t="n">
        <x:f>L155</x:f>
        <x:v>100</x:v>
      </x:c>
      <x:c r="F155" s="28" t="n">
        <x:f>ROUND(MAX(20,0.45*O155+0.15*P155+0.05*Q155),0)</x:f>
        <x:v>65</x:v>
      </x:c>
      <x:c r="G155" s="28" t="n">
        <x:f>ROUND(0.8*M155+0.2*O155,0)</x:f>
        <x:v>100</x:v>
      </x:c>
      <x:c r="H155" s="28" t="n">
        <x:f>ROUND(0.65*N155+0.35*P155,0)</x:f>
        <x:v>100</x:v>
      </x:c>
      <x:c r="I155" s="28" t="n">
        <x:f>ROUND(0.65*O155+0.25*P155+0.1*Q155,0)</x:f>
        <x:v>100</x:v>
      </x:c>
      <x:c r="J155" s="28" t="n">
        <x:f>Q155</x:f>
        <x:v>100</x:v>
      </x:c>
      <x:c r="K155" s="28" t="n">
        <x:f>SUM(E155,G155:J155)</x:f>
        <x:v>500</x:v>
      </x:c>
      <x:c r="L155" s="28" t="n">
        <x:v>100</x:v>
      </x:c>
      <x:c r="M155" s="28" t="n">
        <x:v>100</x:v>
      </x:c>
      <x:c r="N155" s="28" t="n">
        <x:v>100</x:v>
      </x:c>
      <x:c r="O155" s="28" t="n">
        <x:v>100</x:v>
      </x:c>
      <x:c r="P155" s="28" t="n">
        <x:v>100</x:v>
      </x:c>
      <x:c r="Q155" s="28" t="n">
        <x:v>100</x:v>
      </x:c>
      <x:c r="R155" s="30" t="str">
        <x:v>Strong HP/STR; High MP</x:v>
      </x:c>
    </x:row>
  </x:sheetData>
  <x:mergeCells>
    <x:mergeCell ref="A1:R1"/>
    <x:mergeCell ref="A2:R2"/>
  </x:mergeCells>
  <x:conditionalFormatting sqref="E5:J15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155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{BAE50ECE-8AD9-3C70-545F-176DF8493981}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06d5ec3ab724e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AE50ECE-8AD9-3C70-545F-176DF8493981}">
            <x14:dataBar gradient="1">
              <x14:cfvo type="min"/>
              <x14:cfvo type="max"/>
              <x14:fillColor rgb="FFA02B93"/>
            </x14:dataBar>
          </x14:cfRule>
          <xm:sqref>K5:K155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24" hidden="0" customWidth="1"/>
    <x:col min="4" max="4" width="32" hidden="0" customWidth="1"/>
    <x:col min="5" max="5" width="18" hidden="0" customWidth="1"/>
    <x:col min="6" max="6" width="42" hidden="0" customWidth="1"/>
  </x:cols>
  <x:sheetData>
    <x:row r="1" ht="27" customHeight="1">
      <x:c r="A1" s="33" t="str">
        <x:v>PETARIA STAT CONVERSION GUIDE</x:v>
      </x:c>
    </x:row>
    <x:row r="3">
      <x:c r="A3" s="22" t="str">
        <x:v>Petaria Stat</x:v>
      </x:c>
      <x:c r="B3" s="22" t="str">
        <x:v>Formula / Logic</x:v>
      </x:c>
      <x:c r="C3" s="22" t="str">
        <x:v>Purpose Now</x:v>
      </x:c>
      <x:c r="D3" s="22" t="str">
        <x:v>Future Expansion</x:v>
      </x:c>
      <x:c r="E3" s="22" t="str">
        <x:v>Typical Base Range</x:v>
      </x:c>
      <x:c r="F3" s="22" t="str">
        <x:v>Notes</x:v>
      </x:c>
    </x:row>
    <x:row r="4">
      <x:c r="A4" s="30" t="str">
        <x:v>HP</x:v>
      </x:c>
      <x:c r="B4" s="30" t="str">
        <x:v>Pokémon HP</x:v>
      </x:c>
      <x:c r="C4" s="30" t="str">
        <x:v>Survivability</x:v>
      </x:c>
      <x:c r="D4" s="30" t="str">
        <x:v>Keep unchanged</x:v>
      </x:c>
      <x:c r="E4" s="30" t="str">
        <x:v>10–250</x:v>
      </x:c>
      <x:c r="F4" s="30" t="str">
        <x:v>Preserves original tank/squishy identity.</x:v>
      </x:c>
    </x:row>
    <x:row r="5">
      <x:c r="A5" s="30" t="str">
        <x:v>MP</x:v>
      </x:c>
      <x:c r="B5" s="30" t="str">
        <x:v>MAX(20, 0.45×SpA + 0.15×SpD + 0.05×Speed)</x:v>
      </x:c>
      <x:c r="C5" s="30" t="str">
        <x:v>Base MP / skill resource aptitude</x:v>
      </x:c>
      <x:c r="D5" s="30" t="str">
        <x:v>Final MP uses level scaling; Lv.3000 will need a dedicated MP growth formula</x:v>
      </x:c>
      <x:c r="E5" s="30" t="str">
        <x:v>~20–95 base MP</x:v>
      </x:c>
      <x:c r="F5" s="30" t="str">
        <x:v>Rebalanced lower because MP is also level-scaled. Magic-oriented pets still have more MP, but the base value stays near the other base stats.</x:v>
      </x:c>
    </x:row>
    <x:row r="6">
      <x:c r="A6" s="30" t="str">
        <x:v>STR</x:v>
      </x:c>
      <x:c r="B6" s="30" t="str">
        <x:v>0.80×ATK + 0.20×SpA</x:v>
      </x:c>
      <x:c r="C6" s="30" t="str">
        <x:v>Unified damage stat for launch</x:v>
      </x:c>
      <x:c r="D6" s="30" t="str">
        <x:v>Later split into PATK / MATK</x:v>
      </x:c>
      <x:c r="E6" s="30" t="str">
        <x:v>~15–140</x:v>
      </x:c>
      <x:c r="F6" s="30" t="str">
        <x:v>Physical Pokémon retain higher STR; hybrids still gain value.</x:v>
      </x:c>
    </x:row>
    <x:row r="7">
      <x:c r="A7" s="30" t="str">
        <x:v>DEF</x:v>
      </x:c>
      <x:c r="B7" s="30" t="str">
        <x:v>0.65×DEF + 0.35×SpD</x:v>
      </x:c>
      <x:c r="C7" s="30" t="str">
        <x:v>Unified defense</x:v>
      </x:c>
      <x:c r="D7" s="30" t="str">
        <x:v>Later add Block / Effect RES</x:v>
      </x:c>
      <x:c r="E7" s="30" t="str">
        <x:v>~20–150</x:v>
      </x:c>
      <x:c r="F7" s="30" t="str">
        <x:v>Combines physical and special toughness.</x:v>
      </x:c>
    </x:row>
    <x:row r="8">
      <x:c r="A8" s="30" t="str">
        <x:v>INT</x:v>
      </x:c>
      <x:c r="B8" s="30" t="str">
        <x:v>0.65×SpA + 0.25×SpD + 0.10×Speed</x:v>
      </x:c>
      <x:c r="C8" s="30" t="str">
        <x:v>Skill mastery / efficiency</x:v>
      </x:c>
      <x:c r="D8" s="30" t="str">
        <x:v>MP regen, effect hit/res, heal, shield, buff/debuff</x:v>
      </x:c>
      <x:c r="E8" s="30" t="str">
        <x:v>~20–140</x:v>
      </x:c>
      <x:c r="F8" s="30" t="str">
        <x:v>Not raw magic damage; remains useful after PATK/MATK split.</x:v>
      </x:c>
    </x:row>
    <x:row r="9">
      <x:c r="A9" s="30" t="str">
        <x:v>SPD</x:v>
      </x:c>
      <x:c r="B9" s="30" t="str">
        <x:v>Pokémon Speed</x:v>
      </x:c>
      <x:c r="C9" s="30" t="str">
        <x:v>Turn order / action pacing</x:v>
      </x:c>
      <x:c r="D9" s="30" t="str">
        <x:v>Can later interact with action gauge</x:v>
      </x:c>
      <x:c r="E9" s="30" t="str">
        <x:v>15–150</x:v>
      </x:c>
      <x:c r="F9" s="30" t="str">
        <x:v>Preserves fast/slow identity strongly.</x:v>
      </x:c>
    </x:row>
    <x:row r="11" ht="38" customHeight="1">
      <x:c r="A11" s="38" t="str">
        <x:v>Future Role is only a planning label: Physical when ATK ≥ SpA×1.15, Magic when SpA ≥ ATK×1.15, otherwise Hybrid.</x:v>
      </x:c>
    </x:row>
    <x:row r="13">
      <x:c r="A13" s="43" t="str">
        <x:v>Source: PokéAPI / PokeAPI GitHub data. https://pokeapi.co/  |  https://github.com/PokeAPI/pokeapi</x:v>
      </x:c>
    </x:row>
    <x:row r="15" ht="70" customHeight="1">
      <x:c r="A15" s="51" t="str">
        <x:v>IMPORTANT — Lv.3000: if MP uses exactly the HP formula (floor(((2×base+IV)×level)/100)+level+10)×5, the +level term alone makes MP exceed 10,000 at Lv.3000. Lowering Base MP helps early/mid game, but Lv.3000 MP will eventually require its own level multiplier/formula.</x:v>
      </x:c>
    </x:row>
  </x:sheetData>
  <x:mergeCells>
    <x:mergeCell ref="A1:F1"/>
    <x:mergeCell ref="A11:F11"/>
    <x:mergeCell ref="A13:F13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18" hidden="0" customWidth="1"/>
  </x:cols>
  <x:sheetData>
    <x:row r="1">
      <x:c r="A1" s="46" t="str">
        <x:v>#</x:v>
      </x:c>
      <x:c r="B1" s="46" t="str">
        <x:v>Pokemon</x:v>
      </x:c>
      <x:c r="C1" s="46" t="str">
        <x:v>HP</x:v>
      </x:c>
      <x:c r="D1" s="46" t="str">
        <x:v>Attack</x:v>
      </x:c>
      <x:c r="E1" s="46" t="str">
        <x:v>Defense</x:v>
      </x:c>
      <x:c r="F1" s="46" t="str">
        <x:v>Sp. Attack</x:v>
      </x:c>
      <x:c r="G1" s="46" t="str">
        <x:v>Sp. Defense</x:v>
      </x:c>
      <x:c r="H1" s="46" t="str">
        <x:v>Speed</x:v>
      </x:c>
      <x:c r="I1" s="46" t="str">
        <x:v>Type</x:v>
      </x:c>
    </x:row>
    <x:row r="2">
      <x:c r="A2" s="28" t="n">
        <x:v>1</x:v>
      </x:c>
      <x:c r="B2" t="str">
        <x:v>Bulbasaur</x:v>
      </x:c>
      <x:c r="C2" s="28" t="n">
        <x:v>45</x:v>
      </x:c>
      <x:c r="D2" s="28" t="n">
        <x:v>49</x:v>
      </x:c>
      <x:c r="E2" s="28" t="n">
        <x:v>49</x:v>
      </x:c>
      <x:c r="F2" s="28" t="n">
        <x:v>65</x:v>
      </x:c>
      <x:c r="G2" s="28" t="n">
        <x:v>65</x:v>
      </x:c>
      <x:c r="H2" s="28" t="n">
        <x:v>45</x:v>
      </x:c>
      <x:c r="I2" t="str">
        <x:v>Grass / Poison</x:v>
      </x:c>
    </x:row>
    <x:row r="3">
      <x:c r="A3" s="28" t="n">
        <x:v>2</x:v>
      </x:c>
      <x:c r="B3" t="str">
        <x:v>Ivysaur</x:v>
      </x:c>
      <x:c r="C3" s="28" t="n">
        <x:v>60</x:v>
      </x:c>
      <x:c r="D3" s="28" t="n">
        <x:v>62</x:v>
      </x:c>
      <x:c r="E3" s="28" t="n">
        <x:v>63</x:v>
      </x:c>
      <x:c r="F3" s="28" t="n">
        <x:v>80</x:v>
      </x:c>
      <x:c r="G3" s="28" t="n">
        <x:v>80</x:v>
      </x:c>
      <x:c r="H3" s="28" t="n">
        <x:v>60</x:v>
      </x:c>
      <x:c r="I3" t="str">
        <x:v>Grass / Poison</x:v>
      </x:c>
    </x:row>
    <x:row r="4">
      <x:c r="A4" s="28" t="n">
        <x:v>3</x:v>
      </x:c>
      <x:c r="B4" t="str">
        <x:v>Venusaur</x:v>
      </x:c>
      <x:c r="C4" s="28" t="n">
        <x:v>80</x:v>
      </x:c>
      <x:c r="D4" s="28" t="n">
        <x:v>82</x:v>
      </x:c>
      <x:c r="E4" s="28" t="n">
        <x:v>83</x:v>
      </x:c>
      <x:c r="F4" s="28" t="n">
        <x:v>100</x:v>
      </x:c>
      <x:c r="G4" s="28" t="n">
        <x:v>100</x:v>
      </x:c>
      <x:c r="H4" s="28" t="n">
        <x:v>80</x:v>
      </x:c>
      <x:c r="I4" t="str">
        <x:v>Grass / Poison</x:v>
      </x:c>
    </x:row>
    <x:row r="5">
      <x:c r="A5" s="28" t="n">
        <x:v>4</x:v>
      </x:c>
      <x:c r="B5" t="str">
        <x:v>Charmander</x:v>
      </x:c>
      <x:c r="C5" s="28" t="n">
        <x:v>39</x:v>
      </x:c>
      <x:c r="D5" s="28" t="n">
        <x:v>52</x:v>
      </x:c>
      <x:c r="E5" s="28" t="n">
        <x:v>43</x:v>
      </x:c>
      <x:c r="F5" s="28" t="n">
        <x:v>60</x:v>
      </x:c>
      <x:c r="G5" s="28" t="n">
        <x:v>50</x:v>
      </x:c>
      <x:c r="H5" s="28" t="n">
        <x:v>65</x:v>
      </x:c>
      <x:c r="I5" t="str">
        <x:v>Fire</x:v>
      </x:c>
    </x:row>
    <x:row r="6">
      <x:c r="A6" s="28" t="n">
        <x:v>5</x:v>
      </x:c>
      <x:c r="B6" t="str">
        <x:v>Charmeleon</x:v>
      </x:c>
      <x:c r="C6" s="28" t="n">
        <x:v>58</x:v>
      </x:c>
      <x:c r="D6" s="28" t="n">
        <x:v>64</x:v>
      </x:c>
      <x:c r="E6" s="28" t="n">
        <x:v>58</x:v>
      </x:c>
      <x:c r="F6" s="28" t="n">
        <x:v>80</x:v>
      </x:c>
      <x:c r="G6" s="28" t="n">
        <x:v>65</x:v>
      </x:c>
      <x:c r="H6" s="28" t="n">
        <x:v>80</x:v>
      </x:c>
      <x:c r="I6" t="str">
        <x:v>Fire</x:v>
      </x:c>
    </x:row>
    <x:row r="7">
      <x:c r="A7" s="28" t="n">
        <x:v>6</x:v>
      </x:c>
      <x:c r="B7" t="str">
        <x:v>Charizard</x:v>
      </x:c>
      <x:c r="C7" s="28" t="n">
        <x:v>78</x:v>
      </x:c>
      <x:c r="D7" s="28" t="n">
        <x:v>84</x:v>
      </x:c>
      <x:c r="E7" s="28" t="n">
        <x:v>78</x:v>
      </x:c>
      <x:c r="F7" s="28" t="n">
        <x:v>109</x:v>
      </x:c>
      <x:c r="G7" s="28" t="n">
        <x:v>85</x:v>
      </x:c>
      <x:c r="H7" s="28" t="n">
        <x:v>100</x:v>
      </x:c>
      <x:c r="I7" t="str">
        <x:v>Fire / Flying</x:v>
      </x:c>
    </x:row>
    <x:row r="8">
      <x:c r="A8" s="28" t="n">
        <x:v>7</x:v>
      </x:c>
      <x:c r="B8" t="str">
        <x:v>Squirtle</x:v>
      </x:c>
      <x:c r="C8" s="28" t="n">
        <x:v>44</x:v>
      </x:c>
      <x:c r="D8" s="28" t="n">
        <x:v>48</x:v>
      </x:c>
      <x:c r="E8" s="28" t="n">
        <x:v>65</x:v>
      </x:c>
      <x:c r="F8" s="28" t="n">
        <x:v>50</x:v>
      </x:c>
      <x:c r="G8" s="28" t="n">
        <x:v>64</x:v>
      </x:c>
      <x:c r="H8" s="28" t="n">
        <x:v>43</x:v>
      </x:c>
      <x:c r="I8" t="str">
        <x:v>Water</x:v>
      </x:c>
    </x:row>
    <x:row r="9">
      <x:c r="A9" s="28" t="n">
        <x:v>8</x:v>
      </x:c>
      <x:c r="B9" t="str">
        <x:v>Wartortle</x:v>
      </x:c>
      <x:c r="C9" s="28" t="n">
        <x:v>59</x:v>
      </x:c>
      <x:c r="D9" s="28" t="n">
        <x:v>63</x:v>
      </x:c>
      <x:c r="E9" s="28" t="n">
        <x:v>80</x:v>
      </x:c>
      <x:c r="F9" s="28" t="n">
        <x:v>65</x:v>
      </x:c>
      <x:c r="G9" s="28" t="n">
        <x:v>80</x:v>
      </x:c>
      <x:c r="H9" s="28" t="n">
        <x:v>58</x:v>
      </x:c>
      <x:c r="I9" t="str">
        <x:v>Water</x:v>
      </x:c>
    </x:row>
    <x:row r="10">
      <x:c r="A10" s="28" t="n">
        <x:v>9</x:v>
      </x:c>
      <x:c r="B10" t="str">
        <x:v>Blastoise</x:v>
      </x:c>
      <x:c r="C10" s="28" t="n">
        <x:v>79</x:v>
      </x:c>
      <x:c r="D10" s="28" t="n">
        <x:v>83</x:v>
      </x:c>
      <x:c r="E10" s="28" t="n">
        <x:v>100</x:v>
      </x:c>
      <x:c r="F10" s="28" t="n">
        <x:v>85</x:v>
      </x:c>
      <x:c r="G10" s="28" t="n">
        <x:v>105</x:v>
      </x:c>
      <x:c r="H10" s="28" t="n">
        <x:v>78</x:v>
      </x:c>
      <x:c r="I10" t="str">
        <x:v>Water</x:v>
      </x:c>
    </x:row>
    <x:row r="11">
      <x:c r="A11" s="28" t="n">
        <x:v>10</x:v>
      </x:c>
      <x:c r="B11" t="str">
        <x:v>Caterpie</x:v>
      </x:c>
      <x:c r="C11" s="28" t="n">
        <x:v>45</x:v>
      </x:c>
      <x:c r="D11" s="28" t="n">
        <x:v>30</x:v>
      </x:c>
      <x:c r="E11" s="28" t="n">
        <x:v>35</x:v>
      </x:c>
      <x:c r="F11" s="28" t="n">
        <x:v>20</x:v>
      </x:c>
      <x:c r="G11" s="28" t="n">
        <x:v>20</x:v>
      </x:c>
      <x:c r="H11" s="28" t="n">
        <x:v>45</x:v>
      </x:c>
      <x:c r="I11" t="str">
        <x:v>Bug</x:v>
      </x:c>
    </x:row>
    <x:row r="12">
      <x:c r="A12" s="28" t="n">
        <x:v>11</x:v>
      </x:c>
      <x:c r="B12" t="str">
        <x:v>Metapod</x:v>
      </x:c>
      <x:c r="C12" s="28" t="n">
        <x:v>50</x:v>
      </x:c>
      <x:c r="D12" s="28" t="n">
        <x:v>20</x:v>
      </x:c>
      <x:c r="E12" s="28" t="n">
        <x:v>55</x:v>
      </x:c>
      <x:c r="F12" s="28" t="n">
        <x:v>25</x:v>
      </x:c>
      <x:c r="G12" s="28" t="n">
        <x:v>25</x:v>
      </x:c>
      <x:c r="H12" s="28" t="n">
        <x:v>30</x:v>
      </x:c>
      <x:c r="I12" t="str">
        <x:v>Bug</x:v>
      </x:c>
    </x:row>
    <x:row r="13">
      <x:c r="A13" s="28" t="n">
        <x:v>12</x:v>
      </x:c>
      <x:c r="B13" t="str">
        <x:v>Butterfree</x:v>
      </x:c>
      <x:c r="C13" s="28" t="n">
        <x:v>60</x:v>
      </x:c>
      <x:c r="D13" s="28" t="n">
        <x:v>45</x:v>
      </x:c>
      <x:c r="E13" s="28" t="n">
        <x:v>50</x:v>
      </x:c>
      <x:c r="F13" s="28" t="n">
        <x:v>90</x:v>
      </x:c>
      <x:c r="G13" s="28" t="n">
        <x:v>80</x:v>
      </x:c>
      <x:c r="H13" s="28" t="n">
        <x:v>70</x:v>
      </x:c>
      <x:c r="I13" t="str">
        <x:v>Bug / Flying</x:v>
      </x:c>
    </x:row>
    <x:row r="14">
      <x:c r="A14" s="28" t="n">
        <x:v>13</x:v>
      </x:c>
      <x:c r="B14" t="str">
        <x:v>Weedle</x:v>
      </x:c>
      <x:c r="C14" s="28" t="n">
        <x:v>40</x:v>
      </x:c>
      <x:c r="D14" s="28" t="n">
        <x:v>35</x:v>
      </x:c>
      <x:c r="E14" s="28" t="n">
        <x:v>30</x:v>
      </x:c>
      <x:c r="F14" s="28" t="n">
        <x:v>20</x:v>
      </x:c>
      <x:c r="G14" s="28" t="n">
        <x:v>20</x:v>
      </x:c>
      <x:c r="H14" s="28" t="n">
        <x:v>50</x:v>
      </x:c>
      <x:c r="I14" t="str">
        <x:v>Bug / Poison</x:v>
      </x:c>
    </x:row>
    <x:row r="15">
      <x:c r="A15" s="28" t="n">
        <x:v>14</x:v>
      </x:c>
      <x:c r="B15" t="str">
        <x:v>Kakuna</x:v>
      </x:c>
      <x:c r="C15" s="28" t="n">
        <x:v>45</x:v>
      </x:c>
      <x:c r="D15" s="28" t="n">
        <x:v>25</x:v>
      </x:c>
      <x:c r="E15" s="28" t="n">
        <x:v>50</x:v>
      </x:c>
      <x:c r="F15" s="28" t="n">
        <x:v>25</x:v>
      </x:c>
      <x:c r="G15" s="28" t="n">
        <x:v>25</x:v>
      </x:c>
      <x:c r="H15" s="28" t="n">
        <x:v>35</x:v>
      </x:c>
      <x:c r="I15" t="str">
        <x:v>Bug / Poison</x:v>
      </x:c>
    </x:row>
    <x:row r="16">
      <x:c r="A16" s="28" t="n">
        <x:v>15</x:v>
      </x:c>
      <x:c r="B16" t="str">
        <x:v>Beedrill</x:v>
      </x:c>
      <x:c r="C16" s="28" t="n">
        <x:v>65</x:v>
      </x:c>
      <x:c r="D16" s="28" t="n">
        <x:v>90</x:v>
      </x:c>
      <x:c r="E16" s="28" t="n">
        <x:v>40</x:v>
      </x:c>
      <x:c r="F16" s="28" t="n">
        <x:v>45</x:v>
      </x:c>
      <x:c r="G16" s="28" t="n">
        <x:v>80</x:v>
      </x:c>
      <x:c r="H16" s="28" t="n">
        <x:v>75</x:v>
      </x:c>
      <x:c r="I16" t="str">
        <x:v>Bug / Poison</x:v>
      </x:c>
    </x:row>
    <x:row r="17">
      <x:c r="A17" s="28" t="n">
        <x:v>16</x:v>
      </x:c>
      <x:c r="B17" t="str">
        <x:v>Pidgey</x:v>
      </x:c>
      <x:c r="C17" s="28" t="n">
        <x:v>40</x:v>
      </x:c>
      <x:c r="D17" s="28" t="n">
        <x:v>45</x:v>
      </x:c>
      <x:c r="E17" s="28" t="n">
        <x:v>40</x:v>
      </x:c>
      <x:c r="F17" s="28" t="n">
        <x:v>35</x:v>
      </x:c>
      <x:c r="G17" s="28" t="n">
        <x:v>35</x:v>
      </x:c>
      <x:c r="H17" s="28" t="n">
        <x:v>56</x:v>
      </x:c>
      <x:c r="I17" t="str">
        <x:v>Normal / Flying</x:v>
      </x:c>
    </x:row>
    <x:row r="18">
      <x:c r="A18" s="28" t="n">
        <x:v>17</x:v>
      </x:c>
      <x:c r="B18" t="str">
        <x:v>Pidgeotto</x:v>
      </x:c>
      <x:c r="C18" s="28" t="n">
        <x:v>63</x:v>
      </x:c>
      <x:c r="D18" s="28" t="n">
        <x:v>60</x:v>
      </x:c>
      <x:c r="E18" s="28" t="n">
        <x:v>55</x:v>
      </x:c>
      <x:c r="F18" s="28" t="n">
        <x:v>50</x:v>
      </x:c>
      <x:c r="G18" s="28" t="n">
        <x:v>50</x:v>
      </x:c>
      <x:c r="H18" s="28" t="n">
        <x:v>71</x:v>
      </x:c>
      <x:c r="I18" t="str">
        <x:v>Normal / Flying</x:v>
      </x:c>
    </x:row>
    <x:row r="19">
      <x:c r="A19" s="28" t="n">
        <x:v>18</x:v>
      </x:c>
      <x:c r="B19" t="str">
        <x:v>Pidgeot</x:v>
      </x:c>
      <x:c r="C19" s="28" t="n">
        <x:v>83</x:v>
      </x:c>
      <x:c r="D19" s="28" t="n">
        <x:v>80</x:v>
      </x:c>
      <x:c r="E19" s="28" t="n">
        <x:v>75</x:v>
      </x:c>
      <x:c r="F19" s="28" t="n">
        <x:v>70</x:v>
      </x:c>
      <x:c r="G19" s="28" t="n">
        <x:v>70</x:v>
      </x:c>
      <x:c r="H19" s="28" t="n">
        <x:v>101</x:v>
      </x:c>
      <x:c r="I19" t="str">
        <x:v>Normal / Flying</x:v>
      </x:c>
    </x:row>
    <x:row r="20">
      <x:c r="A20" s="28" t="n">
        <x:v>19</x:v>
      </x:c>
      <x:c r="B20" t="str">
        <x:v>Rattata</x:v>
      </x:c>
      <x:c r="C20" s="28" t="n">
        <x:v>30</x:v>
      </x:c>
      <x:c r="D20" s="28" t="n">
        <x:v>56</x:v>
      </x:c>
      <x:c r="E20" s="28" t="n">
        <x:v>35</x:v>
      </x:c>
      <x:c r="F20" s="28" t="n">
        <x:v>25</x:v>
      </x:c>
      <x:c r="G20" s="28" t="n">
        <x:v>35</x:v>
      </x:c>
      <x:c r="H20" s="28" t="n">
        <x:v>72</x:v>
      </x:c>
      <x:c r="I20" t="str">
        <x:v>Normal</x:v>
      </x:c>
    </x:row>
    <x:row r="21">
      <x:c r="A21" s="28" t="n">
        <x:v>20</x:v>
      </x:c>
      <x:c r="B21" t="str">
        <x:v>Raticate</x:v>
      </x:c>
      <x:c r="C21" s="28" t="n">
        <x:v>55</x:v>
      </x:c>
      <x:c r="D21" s="28" t="n">
        <x:v>81</x:v>
      </x:c>
      <x:c r="E21" s="28" t="n">
        <x:v>60</x:v>
      </x:c>
      <x:c r="F21" s="28" t="n">
        <x:v>50</x:v>
      </x:c>
      <x:c r="G21" s="28" t="n">
        <x:v>70</x:v>
      </x:c>
      <x:c r="H21" s="28" t="n">
        <x:v>97</x:v>
      </x:c>
      <x:c r="I21" t="str">
        <x:v>Normal</x:v>
      </x:c>
    </x:row>
    <x:row r="22">
      <x:c r="A22" s="28" t="n">
        <x:v>21</x:v>
      </x:c>
      <x:c r="B22" t="str">
        <x:v>Spearow</x:v>
      </x:c>
      <x:c r="C22" s="28" t="n">
        <x:v>40</x:v>
      </x:c>
      <x:c r="D22" s="28" t="n">
        <x:v>60</x:v>
      </x:c>
      <x:c r="E22" s="28" t="n">
        <x:v>30</x:v>
      </x:c>
      <x:c r="F22" s="28" t="n">
        <x:v>31</x:v>
      </x:c>
      <x:c r="G22" s="28" t="n">
        <x:v>31</x:v>
      </x:c>
      <x:c r="H22" s="28" t="n">
        <x:v>70</x:v>
      </x:c>
      <x:c r="I22" t="str">
        <x:v>Normal / Flying</x:v>
      </x:c>
    </x:row>
    <x:row r="23">
      <x:c r="A23" s="28" t="n">
        <x:v>22</x:v>
      </x:c>
      <x:c r="B23" t="str">
        <x:v>Fearow</x:v>
      </x:c>
      <x:c r="C23" s="28" t="n">
        <x:v>65</x:v>
      </x:c>
      <x:c r="D23" s="28" t="n">
        <x:v>90</x:v>
      </x:c>
      <x:c r="E23" s="28" t="n">
        <x:v>65</x:v>
      </x:c>
      <x:c r="F23" s="28" t="n">
        <x:v>61</x:v>
      </x:c>
      <x:c r="G23" s="28" t="n">
        <x:v>61</x:v>
      </x:c>
      <x:c r="H23" s="28" t="n">
        <x:v>100</x:v>
      </x:c>
      <x:c r="I23" t="str">
        <x:v>Normal / Flying</x:v>
      </x:c>
    </x:row>
    <x:row r="24">
      <x:c r="A24" s="28" t="n">
        <x:v>23</x:v>
      </x:c>
      <x:c r="B24" t="str">
        <x:v>Ekans</x:v>
      </x:c>
      <x:c r="C24" s="28" t="n">
        <x:v>35</x:v>
      </x:c>
      <x:c r="D24" s="28" t="n">
        <x:v>60</x:v>
      </x:c>
      <x:c r="E24" s="28" t="n">
        <x:v>44</x:v>
      </x:c>
      <x:c r="F24" s="28" t="n">
        <x:v>40</x:v>
      </x:c>
      <x:c r="G24" s="28" t="n">
        <x:v>54</x:v>
      </x:c>
      <x:c r="H24" s="28" t="n">
        <x:v>55</x:v>
      </x:c>
      <x:c r="I24" t="str">
        <x:v>Poison</x:v>
      </x:c>
    </x:row>
    <x:row r="25">
      <x:c r="A25" s="28" t="n">
        <x:v>24</x:v>
      </x:c>
      <x:c r="B25" t="str">
        <x:v>Arbok</x:v>
      </x:c>
      <x:c r="C25" s="28" t="n">
        <x:v>60</x:v>
      </x:c>
      <x:c r="D25" s="28" t="n">
        <x:v>95</x:v>
      </x:c>
      <x:c r="E25" s="28" t="n">
        <x:v>69</x:v>
      </x:c>
      <x:c r="F25" s="28" t="n">
        <x:v>65</x:v>
      </x:c>
      <x:c r="G25" s="28" t="n">
        <x:v>79</x:v>
      </x:c>
      <x:c r="H25" s="28" t="n">
        <x:v>80</x:v>
      </x:c>
      <x:c r="I25" t="str">
        <x:v>Poison</x:v>
      </x:c>
    </x:row>
    <x:row r="26">
      <x:c r="A26" s="28" t="n">
        <x:v>25</x:v>
      </x:c>
      <x:c r="B26" t="str">
        <x:v>Pikachu</x:v>
      </x:c>
      <x:c r="C26" s="28" t="n">
        <x:v>35</x:v>
      </x:c>
      <x:c r="D26" s="28" t="n">
        <x:v>55</x:v>
      </x:c>
      <x:c r="E26" s="28" t="n">
        <x:v>40</x:v>
      </x:c>
      <x:c r="F26" s="28" t="n">
        <x:v>50</x:v>
      </x:c>
      <x:c r="G26" s="28" t="n">
        <x:v>50</x:v>
      </x:c>
      <x:c r="H26" s="28" t="n">
        <x:v>90</x:v>
      </x:c>
      <x:c r="I26" t="str">
        <x:v>Electric</x:v>
      </x:c>
    </x:row>
    <x:row r="27">
      <x:c r="A27" s="28" t="n">
        <x:v>26</x:v>
      </x:c>
      <x:c r="B27" t="str">
        <x:v>Raichu</x:v>
      </x:c>
      <x:c r="C27" s="28" t="n">
        <x:v>60</x:v>
      </x:c>
      <x:c r="D27" s="28" t="n">
        <x:v>90</x:v>
      </x:c>
      <x:c r="E27" s="28" t="n">
        <x:v>55</x:v>
      </x:c>
      <x:c r="F27" s="28" t="n">
        <x:v>90</x:v>
      </x:c>
      <x:c r="G27" s="28" t="n">
        <x:v>80</x:v>
      </x:c>
      <x:c r="H27" s="28" t="n">
        <x:v>110</x:v>
      </x:c>
      <x:c r="I27" t="str">
        <x:v>Electric</x:v>
      </x:c>
    </x:row>
    <x:row r="28">
      <x:c r="A28" s="28" t="n">
        <x:v>27</x:v>
      </x:c>
      <x:c r="B28" t="str">
        <x:v>Sandshrew</x:v>
      </x:c>
      <x:c r="C28" s="28" t="n">
        <x:v>50</x:v>
      </x:c>
      <x:c r="D28" s="28" t="n">
        <x:v>75</x:v>
      </x:c>
      <x:c r="E28" s="28" t="n">
        <x:v>85</x:v>
      </x:c>
      <x:c r="F28" s="28" t="n">
        <x:v>20</x:v>
      </x:c>
      <x:c r="G28" s="28" t="n">
        <x:v>30</x:v>
      </x:c>
      <x:c r="H28" s="28" t="n">
        <x:v>40</x:v>
      </x:c>
      <x:c r="I28" t="str">
        <x:v>Ground</x:v>
      </x:c>
    </x:row>
    <x:row r="29">
      <x:c r="A29" s="28" t="n">
        <x:v>28</x:v>
      </x:c>
      <x:c r="B29" t="str">
        <x:v>Sandslash</x:v>
      </x:c>
      <x:c r="C29" s="28" t="n">
        <x:v>75</x:v>
      </x:c>
      <x:c r="D29" s="28" t="n">
        <x:v>100</x:v>
      </x:c>
      <x:c r="E29" s="28" t="n">
        <x:v>110</x:v>
      </x:c>
      <x:c r="F29" s="28" t="n">
        <x:v>45</x:v>
      </x:c>
      <x:c r="G29" s="28" t="n">
        <x:v>55</x:v>
      </x:c>
      <x:c r="H29" s="28" t="n">
        <x:v>65</x:v>
      </x:c>
      <x:c r="I29" t="str">
        <x:v>Ground</x:v>
      </x:c>
    </x:row>
    <x:row r="30">
      <x:c r="A30" s="28" t="n">
        <x:v>29</x:v>
      </x:c>
      <x:c r="B30" t="str">
        <x:v>Nidoran F</x:v>
      </x:c>
      <x:c r="C30" s="28" t="n">
        <x:v>55</x:v>
      </x:c>
      <x:c r="D30" s="28" t="n">
        <x:v>47</x:v>
      </x:c>
      <x:c r="E30" s="28" t="n">
        <x:v>52</x:v>
      </x:c>
      <x:c r="F30" s="28" t="n">
        <x:v>40</x:v>
      </x:c>
      <x:c r="G30" s="28" t="n">
        <x:v>40</x:v>
      </x:c>
      <x:c r="H30" s="28" t="n">
        <x:v>41</x:v>
      </x:c>
      <x:c r="I30" t="str">
        <x:v>Poison</x:v>
      </x:c>
    </x:row>
    <x:row r="31">
      <x:c r="A31" s="28" t="n">
        <x:v>30</x:v>
      </x:c>
      <x:c r="B31" t="str">
        <x:v>Nidorina</x:v>
      </x:c>
      <x:c r="C31" s="28" t="n">
        <x:v>70</x:v>
      </x:c>
      <x:c r="D31" s="28" t="n">
        <x:v>62</x:v>
      </x:c>
      <x:c r="E31" s="28" t="n">
        <x:v>67</x:v>
      </x:c>
      <x:c r="F31" s="28" t="n">
        <x:v>55</x:v>
      </x:c>
      <x:c r="G31" s="28" t="n">
        <x:v>55</x:v>
      </x:c>
      <x:c r="H31" s="28" t="n">
        <x:v>56</x:v>
      </x:c>
      <x:c r="I31" t="str">
        <x:v>Poison</x:v>
      </x:c>
    </x:row>
    <x:row r="32">
      <x:c r="A32" s="28" t="n">
        <x:v>31</x:v>
      </x:c>
      <x:c r="B32" t="str">
        <x:v>Nidoqueen</x:v>
      </x:c>
      <x:c r="C32" s="28" t="n">
        <x:v>90</x:v>
      </x:c>
      <x:c r="D32" s="28" t="n">
        <x:v>92</x:v>
      </x:c>
      <x:c r="E32" s="28" t="n">
        <x:v>87</x:v>
      </x:c>
      <x:c r="F32" s="28" t="n">
        <x:v>75</x:v>
      </x:c>
      <x:c r="G32" s="28" t="n">
        <x:v>85</x:v>
      </x:c>
      <x:c r="H32" s="28" t="n">
        <x:v>76</x:v>
      </x:c>
      <x:c r="I32" t="str">
        <x:v>Poison / Ground</x:v>
      </x:c>
    </x:row>
    <x:row r="33">
      <x:c r="A33" s="28" t="n">
        <x:v>32</x:v>
      </x:c>
      <x:c r="B33" t="str">
        <x:v>Nidoran M</x:v>
      </x:c>
      <x:c r="C33" s="28" t="n">
        <x:v>46</x:v>
      </x:c>
      <x:c r="D33" s="28" t="n">
        <x:v>57</x:v>
      </x:c>
      <x:c r="E33" s="28" t="n">
        <x:v>40</x:v>
      </x:c>
      <x:c r="F33" s="28" t="n">
        <x:v>40</x:v>
      </x:c>
      <x:c r="G33" s="28" t="n">
        <x:v>40</x:v>
      </x:c>
      <x:c r="H33" s="28" t="n">
        <x:v>50</x:v>
      </x:c>
      <x:c r="I33" t="str">
        <x:v>Poison</x:v>
      </x:c>
    </x:row>
    <x:row r="34">
      <x:c r="A34" s="28" t="n">
        <x:v>33</x:v>
      </x:c>
      <x:c r="B34" t="str">
        <x:v>Nidorino</x:v>
      </x:c>
      <x:c r="C34" s="28" t="n">
        <x:v>61</x:v>
      </x:c>
      <x:c r="D34" s="28" t="n">
        <x:v>72</x:v>
      </x:c>
      <x:c r="E34" s="28" t="n">
        <x:v>57</x:v>
      </x:c>
      <x:c r="F34" s="28" t="n">
        <x:v>55</x:v>
      </x:c>
      <x:c r="G34" s="28" t="n">
        <x:v>55</x:v>
      </x:c>
      <x:c r="H34" s="28" t="n">
        <x:v>65</x:v>
      </x:c>
      <x:c r="I34" t="str">
        <x:v>Poison</x:v>
      </x:c>
    </x:row>
    <x:row r="35">
      <x:c r="A35" s="28" t="n">
        <x:v>34</x:v>
      </x:c>
      <x:c r="B35" t="str">
        <x:v>Nidoking</x:v>
      </x:c>
      <x:c r="C35" s="28" t="n">
        <x:v>81</x:v>
      </x:c>
      <x:c r="D35" s="28" t="n">
        <x:v>102</x:v>
      </x:c>
      <x:c r="E35" s="28" t="n">
        <x:v>77</x:v>
      </x:c>
      <x:c r="F35" s="28" t="n">
        <x:v>85</x:v>
      </x:c>
      <x:c r="G35" s="28" t="n">
        <x:v>75</x:v>
      </x:c>
      <x:c r="H35" s="28" t="n">
        <x:v>85</x:v>
      </x:c>
      <x:c r="I35" t="str">
        <x:v>Poison / Ground</x:v>
      </x:c>
    </x:row>
    <x:row r="36">
      <x:c r="A36" s="28" t="n">
        <x:v>35</x:v>
      </x:c>
      <x:c r="B36" t="str">
        <x:v>Clefairy</x:v>
      </x:c>
      <x:c r="C36" s="28" t="n">
        <x:v>70</x:v>
      </x:c>
      <x:c r="D36" s="28" t="n">
        <x:v>45</x:v>
      </x:c>
      <x:c r="E36" s="28" t="n">
        <x:v>48</x:v>
      </x:c>
      <x:c r="F36" s="28" t="n">
        <x:v>60</x:v>
      </x:c>
      <x:c r="G36" s="28" t="n">
        <x:v>65</x:v>
      </x:c>
      <x:c r="H36" s="28" t="n">
        <x:v>35</x:v>
      </x:c>
      <x:c r="I36" t="str">
        <x:v>Fairy</x:v>
      </x:c>
    </x:row>
    <x:row r="37">
      <x:c r="A37" s="28" t="n">
        <x:v>36</x:v>
      </x:c>
      <x:c r="B37" t="str">
        <x:v>Clefable</x:v>
      </x:c>
      <x:c r="C37" s="28" t="n">
        <x:v>95</x:v>
      </x:c>
      <x:c r="D37" s="28" t="n">
        <x:v>70</x:v>
      </x:c>
      <x:c r="E37" s="28" t="n">
        <x:v>73</x:v>
      </x:c>
      <x:c r="F37" s="28" t="n">
        <x:v>95</x:v>
      </x:c>
      <x:c r="G37" s="28" t="n">
        <x:v>90</x:v>
      </x:c>
      <x:c r="H37" s="28" t="n">
        <x:v>60</x:v>
      </x:c>
      <x:c r="I37" t="str">
        <x:v>Fairy</x:v>
      </x:c>
    </x:row>
    <x:row r="38">
      <x:c r="A38" s="28" t="n">
        <x:v>37</x:v>
      </x:c>
      <x:c r="B38" t="str">
        <x:v>Vulpix</x:v>
      </x:c>
      <x:c r="C38" s="28" t="n">
        <x:v>38</x:v>
      </x:c>
      <x:c r="D38" s="28" t="n">
        <x:v>41</x:v>
      </x:c>
      <x:c r="E38" s="28" t="n">
        <x:v>40</x:v>
      </x:c>
      <x:c r="F38" s="28" t="n">
        <x:v>50</x:v>
      </x:c>
      <x:c r="G38" s="28" t="n">
        <x:v>65</x:v>
      </x:c>
      <x:c r="H38" s="28" t="n">
        <x:v>65</x:v>
      </x:c>
      <x:c r="I38" t="str">
        <x:v>Fire</x:v>
      </x:c>
    </x:row>
    <x:row r="39">
      <x:c r="A39" s="28" t="n">
        <x:v>38</x:v>
      </x:c>
      <x:c r="B39" t="str">
        <x:v>Ninetales</x:v>
      </x:c>
      <x:c r="C39" s="28" t="n">
        <x:v>73</x:v>
      </x:c>
      <x:c r="D39" s="28" t="n">
        <x:v>76</x:v>
      </x:c>
      <x:c r="E39" s="28" t="n">
        <x:v>75</x:v>
      </x:c>
      <x:c r="F39" s="28" t="n">
        <x:v>81</x:v>
      </x:c>
      <x:c r="G39" s="28" t="n">
        <x:v>100</x:v>
      </x:c>
      <x:c r="H39" s="28" t="n">
        <x:v>100</x:v>
      </x:c>
      <x:c r="I39" t="str">
        <x:v>Fire</x:v>
      </x:c>
    </x:row>
    <x:row r="40">
      <x:c r="A40" s="28" t="n">
        <x:v>39</x:v>
      </x:c>
      <x:c r="B40" t="str">
        <x:v>Jigglypuff</x:v>
      </x:c>
      <x:c r="C40" s="28" t="n">
        <x:v>115</x:v>
      </x:c>
      <x:c r="D40" s="28" t="n">
        <x:v>45</x:v>
      </x:c>
      <x:c r="E40" s="28" t="n">
        <x:v>20</x:v>
      </x:c>
      <x:c r="F40" s="28" t="n">
        <x:v>45</x:v>
      </x:c>
      <x:c r="G40" s="28" t="n">
        <x:v>25</x:v>
      </x:c>
      <x:c r="H40" s="28" t="n">
        <x:v>20</x:v>
      </x:c>
      <x:c r="I40" t="str">
        <x:v>Normal / Fairy</x:v>
      </x:c>
    </x:row>
    <x:row r="41">
      <x:c r="A41" s="28" t="n">
        <x:v>40</x:v>
      </x:c>
      <x:c r="B41" t="str">
        <x:v>Wigglytuff</x:v>
      </x:c>
      <x:c r="C41" s="28" t="n">
        <x:v>140</x:v>
      </x:c>
      <x:c r="D41" s="28" t="n">
        <x:v>70</x:v>
      </x:c>
      <x:c r="E41" s="28" t="n">
        <x:v>45</x:v>
      </x:c>
      <x:c r="F41" s="28" t="n">
        <x:v>85</x:v>
      </x:c>
      <x:c r="G41" s="28" t="n">
        <x:v>50</x:v>
      </x:c>
      <x:c r="H41" s="28" t="n">
        <x:v>45</x:v>
      </x:c>
      <x:c r="I41" t="str">
        <x:v>Normal / Fairy</x:v>
      </x:c>
    </x:row>
    <x:row r="42">
      <x:c r="A42" s="28" t="n">
        <x:v>41</x:v>
      </x:c>
      <x:c r="B42" t="str">
        <x:v>Zubat</x:v>
      </x:c>
      <x:c r="C42" s="28" t="n">
        <x:v>40</x:v>
      </x:c>
      <x:c r="D42" s="28" t="n">
        <x:v>45</x:v>
      </x:c>
      <x:c r="E42" s="28" t="n">
        <x:v>35</x:v>
      </x:c>
      <x:c r="F42" s="28" t="n">
        <x:v>30</x:v>
      </x:c>
      <x:c r="G42" s="28" t="n">
        <x:v>40</x:v>
      </x:c>
      <x:c r="H42" s="28" t="n">
        <x:v>55</x:v>
      </x:c>
      <x:c r="I42" t="str">
        <x:v>Poison / Flying</x:v>
      </x:c>
    </x:row>
    <x:row r="43">
      <x:c r="A43" s="28" t="n">
        <x:v>42</x:v>
      </x:c>
      <x:c r="B43" t="str">
        <x:v>Golbat</x:v>
      </x:c>
      <x:c r="C43" s="28" t="n">
        <x:v>75</x:v>
      </x:c>
      <x:c r="D43" s="28" t="n">
        <x:v>80</x:v>
      </x:c>
      <x:c r="E43" s="28" t="n">
        <x:v>70</x:v>
      </x:c>
      <x:c r="F43" s="28" t="n">
        <x:v>65</x:v>
      </x:c>
      <x:c r="G43" s="28" t="n">
        <x:v>75</x:v>
      </x:c>
      <x:c r="H43" s="28" t="n">
        <x:v>90</x:v>
      </x:c>
      <x:c r="I43" t="str">
        <x:v>Poison / Flying</x:v>
      </x:c>
    </x:row>
    <x:row r="44">
      <x:c r="A44" s="28" t="n">
        <x:v>43</x:v>
      </x:c>
      <x:c r="B44" t="str">
        <x:v>Oddish</x:v>
      </x:c>
      <x:c r="C44" s="28" t="n">
        <x:v>45</x:v>
      </x:c>
      <x:c r="D44" s="28" t="n">
        <x:v>50</x:v>
      </x:c>
      <x:c r="E44" s="28" t="n">
        <x:v>55</x:v>
      </x:c>
      <x:c r="F44" s="28" t="n">
        <x:v>75</x:v>
      </x:c>
      <x:c r="G44" s="28" t="n">
        <x:v>65</x:v>
      </x:c>
      <x:c r="H44" s="28" t="n">
        <x:v>30</x:v>
      </x:c>
      <x:c r="I44" t="str">
        <x:v>Grass / Poison</x:v>
      </x:c>
    </x:row>
    <x:row r="45">
      <x:c r="A45" s="28" t="n">
        <x:v>44</x:v>
      </x:c>
      <x:c r="B45" t="str">
        <x:v>Gloom</x:v>
      </x:c>
      <x:c r="C45" s="28" t="n">
        <x:v>60</x:v>
      </x:c>
      <x:c r="D45" s="28" t="n">
        <x:v>65</x:v>
      </x:c>
      <x:c r="E45" s="28" t="n">
        <x:v>70</x:v>
      </x:c>
      <x:c r="F45" s="28" t="n">
        <x:v>85</x:v>
      </x:c>
      <x:c r="G45" s="28" t="n">
        <x:v>75</x:v>
      </x:c>
      <x:c r="H45" s="28" t="n">
        <x:v>40</x:v>
      </x:c>
      <x:c r="I45" t="str">
        <x:v>Grass / Poison</x:v>
      </x:c>
    </x:row>
    <x:row r="46">
      <x:c r="A46" s="28" t="n">
        <x:v>45</x:v>
      </x:c>
      <x:c r="B46" t="str">
        <x:v>Vileplume</x:v>
      </x:c>
      <x:c r="C46" s="28" t="n">
        <x:v>75</x:v>
      </x:c>
      <x:c r="D46" s="28" t="n">
        <x:v>80</x:v>
      </x:c>
      <x:c r="E46" s="28" t="n">
        <x:v>85</x:v>
      </x:c>
      <x:c r="F46" s="28" t="n">
        <x:v>110</x:v>
      </x:c>
      <x:c r="G46" s="28" t="n">
        <x:v>90</x:v>
      </x:c>
      <x:c r="H46" s="28" t="n">
        <x:v>50</x:v>
      </x:c>
      <x:c r="I46" t="str">
        <x:v>Grass / Poison</x:v>
      </x:c>
    </x:row>
    <x:row r="47">
      <x:c r="A47" s="28" t="n">
        <x:v>46</x:v>
      </x:c>
      <x:c r="B47" t="str">
        <x:v>Paras</x:v>
      </x:c>
      <x:c r="C47" s="28" t="n">
        <x:v>35</x:v>
      </x:c>
      <x:c r="D47" s="28" t="n">
        <x:v>70</x:v>
      </x:c>
      <x:c r="E47" s="28" t="n">
        <x:v>55</x:v>
      </x:c>
      <x:c r="F47" s="28" t="n">
        <x:v>45</x:v>
      </x:c>
      <x:c r="G47" s="28" t="n">
        <x:v>55</x:v>
      </x:c>
      <x:c r="H47" s="28" t="n">
        <x:v>25</x:v>
      </x:c>
      <x:c r="I47" t="str">
        <x:v>Bug / Grass</x:v>
      </x:c>
    </x:row>
    <x:row r="48">
      <x:c r="A48" s="28" t="n">
        <x:v>47</x:v>
      </x:c>
      <x:c r="B48" t="str">
        <x:v>Parasect</x:v>
      </x:c>
      <x:c r="C48" s="28" t="n">
        <x:v>60</x:v>
      </x:c>
      <x:c r="D48" s="28" t="n">
        <x:v>95</x:v>
      </x:c>
      <x:c r="E48" s="28" t="n">
        <x:v>80</x:v>
      </x:c>
      <x:c r="F48" s="28" t="n">
        <x:v>60</x:v>
      </x:c>
      <x:c r="G48" s="28" t="n">
        <x:v>80</x:v>
      </x:c>
      <x:c r="H48" s="28" t="n">
        <x:v>30</x:v>
      </x:c>
      <x:c r="I48" t="str">
        <x:v>Bug / Grass</x:v>
      </x:c>
    </x:row>
    <x:row r="49">
      <x:c r="A49" s="28" t="n">
        <x:v>48</x:v>
      </x:c>
      <x:c r="B49" t="str">
        <x:v>Venonat</x:v>
      </x:c>
      <x:c r="C49" s="28" t="n">
        <x:v>60</x:v>
      </x:c>
      <x:c r="D49" s="28" t="n">
        <x:v>55</x:v>
      </x:c>
      <x:c r="E49" s="28" t="n">
        <x:v>50</x:v>
      </x:c>
      <x:c r="F49" s="28" t="n">
        <x:v>40</x:v>
      </x:c>
      <x:c r="G49" s="28" t="n">
        <x:v>55</x:v>
      </x:c>
      <x:c r="H49" s="28" t="n">
        <x:v>45</x:v>
      </x:c>
      <x:c r="I49" t="str">
        <x:v>Bug / Poison</x:v>
      </x:c>
    </x:row>
    <x:row r="50">
      <x:c r="A50" s="28" t="n">
        <x:v>49</x:v>
      </x:c>
      <x:c r="B50" t="str">
        <x:v>Venomoth</x:v>
      </x:c>
      <x:c r="C50" s="28" t="n">
        <x:v>70</x:v>
      </x:c>
      <x:c r="D50" s="28" t="n">
        <x:v>65</x:v>
      </x:c>
      <x:c r="E50" s="28" t="n">
        <x:v>60</x:v>
      </x:c>
      <x:c r="F50" s="28" t="n">
        <x:v>90</x:v>
      </x:c>
      <x:c r="G50" s="28" t="n">
        <x:v>75</x:v>
      </x:c>
      <x:c r="H50" s="28" t="n">
        <x:v>90</x:v>
      </x:c>
      <x:c r="I50" t="str">
        <x:v>Bug / Poison</x:v>
      </x:c>
    </x:row>
    <x:row r="51">
      <x:c r="A51" s="28" t="n">
        <x:v>50</x:v>
      </x:c>
      <x:c r="B51" t="str">
        <x:v>Diglett</x:v>
      </x:c>
      <x:c r="C51" s="28" t="n">
        <x:v>10</x:v>
      </x:c>
      <x:c r="D51" s="28" t="n">
        <x:v>55</x:v>
      </x:c>
      <x:c r="E51" s="28" t="n">
        <x:v>25</x:v>
      </x:c>
      <x:c r="F51" s="28" t="n">
        <x:v>35</x:v>
      </x:c>
      <x:c r="G51" s="28" t="n">
        <x:v>45</x:v>
      </x:c>
      <x:c r="H51" s="28" t="n">
        <x:v>95</x:v>
      </x:c>
      <x:c r="I51" t="str">
        <x:v>Ground</x:v>
      </x:c>
    </x:row>
    <x:row r="52">
      <x:c r="A52" s="28" t="n">
        <x:v>51</x:v>
      </x:c>
      <x:c r="B52" t="str">
        <x:v>Dugtrio</x:v>
      </x:c>
      <x:c r="C52" s="28" t="n">
        <x:v>35</x:v>
      </x:c>
      <x:c r="D52" s="28" t="n">
        <x:v>100</x:v>
      </x:c>
      <x:c r="E52" s="28" t="n">
        <x:v>50</x:v>
      </x:c>
      <x:c r="F52" s="28" t="n">
        <x:v>50</x:v>
      </x:c>
      <x:c r="G52" s="28" t="n">
        <x:v>70</x:v>
      </x:c>
      <x:c r="H52" s="28" t="n">
        <x:v>120</x:v>
      </x:c>
      <x:c r="I52" t="str">
        <x:v>Ground</x:v>
      </x:c>
    </x:row>
    <x:row r="53">
      <x:c r="A53" s="28" t="n">
        <x:v>52</x:v>
      </x:c>
      <x:c r="B53" t="str">
        <x:v>Meowth</x:v>
      </x:c>
      <x:c r="C53" s="28" t="n">
        <x:v>40</x:v>
      </x:c>
      <x:c r="D53" s="28" t="n">
        <x:v>45</x:v>
      </x:c>
      <x:c r="E53" s="28" t="n">
        <x:v>35</x:v>
      </x:c>
      <x:c r="F53" s="28" t="n">
        <x:v>40</x:v>
      </x:c>
      <x:c r="G53" s="28" t="n">
        <x:v>40</x:v>
      </x:c>
      <x:c r="H53" s="28" t="n">
        <x:v>90</x:v>
      </x:c>
      <x:c r="I53" t="str">
        <x:v>Normal</x:v>
      </x:c>
    </x:row>
    <x:row r="54">
      <x:c r="A54" s="28" t="n">
        <x:v>53</x:v>
      </x:c>
      <x:c r="B54" t="str">
        <x:v>Persian</x:v>
      </x:c>
      <x:c r="C54" s="28" t="n">
        <x:v>65</x:v>
      </x:c>
      <x:c r="D54" s="28" t="n">
        <x:v>70</x:v>
      </x:c>
      <x:c r="E54" s="28" t="n">
        <x:v>60</x:v>
      </x:c>
      <x:c r="F54" s="28" t="n">
        <x:v>65</x:v>
      </x:c>
      <x:c r="G54" s="28" t="n">
        <x:v>65</x:v>
      </x:c>
      <x:c r="H54" s="28" t="n">
        <x:v>115</x:v>
      </x:c>
      <x:c r="I54" t="str">
        <x:v>Normal</x:v>
      </x:c>
    </x:row>
    <x:row r="55">
      <x:c r="A55" s="28" t="n">
        <x:v>54</x:v>
      </x:c>
      <x:c r="B55" t="str">
        <x:v>Psyduck</x:v>
      </x:c>
      <x:c r="C55" s="28" t="n">
        <x:v>50</x:v>
      </x:c>
      <x:c r="D55" s="28" t="n">
        <x:v>52</x:v>
      </x:c>
      <x:c r="E55" s="28" t="n">
        <x:v>48</x:v>
      </x:c>
      <x:c r="F55" s="28" t="n">
        <x:v>65</x:v>
      </x:c>
      <x:c r="G55" s="28" t="n">
        <x:v>50</x:v>
      </x:c>
      <x:c r="H55" s="28" t="n">
        <x:v>55</x:v>
      </x:c>
      <x:c r="I55" t="str">
        <x:v>Water</x:v>
      </x:c>
    </x:row>
    <x:row r="56">
      <x:c r="A56" s="28" t="n">
        <x:v>55</x:v>
      </x:c>
      <x:c r="B56" t="str">
        <x:v>Golduck</x:v>
      </x:c>
      <x:c r="C56" s="28" t="n">
        <x:v>80</x:v>
      </x:c>
      <x:c r="D56" s="28" t="n">
        <x:v>82</x:v>
      </x:c>
      <x:c r="E56" s="28" t="n">
        <x:v>78</x:v>
      </x:c>
      <x:c r="F56" s="28" t="n">
        <x:v>95</x:v>
      </x:c>
      <x:c r="G56" s="28" t="n">
        <x:v>80</x:v>
      </x:c>
      <x:c r="H56" s="28" t="n">
        <x:v>85</x:v>
      </x:c>
      <x:c r="I56" t="str">
        <x:v>Water</x:v>
      </x:c>
    </x:row>
    <x:row r="57">
      <x:c r="A57" s="28" t="n">
        <x:v>56</x:v>
      </x:c>
      <x:c r="B57" t="str">
        <x:v>Mankey</x:v>
      </x:c>
      <x:c r="C57" s="28" t="n">
        <x:v>40</x:v>
      </x:c>
      <x:c r="D57" s="28" t="n">
        <x:v>80</x:v>
      </x:c>
      <x:c r="E57" s="28" t="n">
        <x:v>35</x:v>
      </x:c>
      <x:c r="F57" s="28" t="n">
        <x:v>35</x:v>
      </x:c>
      <x:c r="G57" s="28" t="n">
        <x:v>45</x:v>
      </x:c>
      <x:c r="H57" s="28" t="n">
        <x:v>70</x:v>
      </x:c>
      <x:c r="I57" t="str">
        <x:v>Fighting</x:v>
      </x:c>
    </x:row>
    <x:row r="58">
      <x:c r="A58" s="28" t="n">
        <x:v>57</x:v>
      </x:c>
      <x:c r="B58" t="str">
        <x:v>Primeape</x:v>
      </x:c>
      <x:c r="C58" s="28" t="n">
        <x:v>65</x:v>
      </x:c>
      <x:c r="D58" s="28" t="n">
        <x:v>105</x:v>
      </x:c>
      <x:c r="E58" s="28" t="n">
        <x:v>60</x:v>
      </x:c>
      <x:c r="F58" s="28" t="n">
        <x:v>60</x:v>
      </x:c>
      <x:c r="G58" s="28" t="n">
        <x:v>70</x:v>
      </x:c>
      <x:c r="H58" s="28" t="n">
        <x:v>95</x:v>
      </x:c>
      <x:c r="I58" t="str">
        <x:v>Fighting</x:v>
      </x:c>
    </x:row>
    <x:row r="59">
      <x:c r="A59" s="28" t="n">
        <x:v>58</x:v>
      </x:c>
      <x:c r="B59" t="str">
        <x:v>Growlithe</x:v>
      </x:c>
      <x:c r="C59" s="28" t="n">
        <x:v>55</x:v>
      </x:c>
      <x:c r="D59" s="28" t="n">
        <x:v>70</x:v>
      </x:c>
      <x:c r="E59" s="28" t="n">
        <x:v>45</x:v>
      </x:c>
      <x:c r="F59" s="28" t="n">
        <x:v>70</x:v>
      </x:c>
      <x:c r="G59" s="28" t="n">
        <x:v>50</x:v>
      </x:c>
      <x:c r="H59" s="28" t="n">
        <x:v>60</x:v>
      </x:c>
      <x:c r="I59" t="str">
        <x:v>Fire</x:v>
      </x:c>
    </x:row>
    <x:row r="60">
      <x:c r="A60" s="28" t="n">
        <x:v>59</x:v>
      </x:c>
      <x:c r="B60" t="str">
        <x:v>Arcanine</x:v>
      </x:c>
      <x:c r="C60" s="28" t="n">
        <x:v>90</x:v>
      </x:c>
      <x:c r="D60" s="28" t="n">
        <x:v>110</x:v>
      </x:c>
      <x:c r="E60" s="28" t="n">
        <x:v>80</x:v>
      </x:c>
      <x:c r="F60" s="28" t="n">
        <x:v>100</x:v>
      </x:c>
      <x:c r="G60" s="28" t="n">
        <x:v>80</x:v>
      </x:c>
      <x:c r="H60" s="28" t="n">
        <x:v>95</x:v>
      </x:c>
      <x:c r="I60" t="str">
        <x:v>Fire</x:v>
      </x:c>
    </x:row>
    <x:row r="61">
      <x:c r="A61" s="28" t="n">
        <x:v>60</x:v>
      </x:c>
      <x:c r="B61" t="str">
        <x:v>Poliwag</x:v>
      </x:c>
      <x:c r="C61" s="28" t="n">
        <x:v>40</x:v>
      </x:c>
      <x:c r="D61" s="28" t="n">
        <x:v>50</x:v>
      </x:c>
      <x:c r="E61" s="28" t="n">
        <x:v>40</x:v>
      </x:c>
      <x:c r="F61" s="28" t="n">
        <x:v>40</x:v>
      </x:c>
      <x:c r="G61" s="28" t="n">
        <x:v>40</x:v>
      </x:c>
      <x:c r="H61" s="28" t="n">
        <x:v>90</x:v>
      </x:c>
      <x:c r="I61" t="str">
        <x:v>Water</x:v>
      </x:c>
    </x:row>
    <x:row r="62">
      <x:c r="A62" s="28" t="n">
        <x:v>61</x:v>
      </x:c>
      <x:c r="B62" t="str">
        <x:v>Poliwhirl</x:v>
      </x:c>
      <x:c r="C62" s="28" t="n">
        <x:v>65</x:v>
      </x:c>
      <x:c r="D62" s="28" t="n">
        <x:v>65</x:v>
      </x:c>
      <x:c r="E62" s="28" t="n">
        <x:v>65</x:v>
      </x:c>
      <x:c r="F62" s="28" t="n">
        <x:v>50</x:v>
      </x:c>
      <x:c r="G62" s="28" t="n">
        <x:v>50</x:v>
      </x:c>
      <x:c r="H62" s="28" t="n">
        <x:v>90</x:v>
      </x:c>
      <x:c r="I62" t="str">
        <x:v>Water</x:v>
      </x:c>
    </x:row>
    <x:row r="63">
      <x:c r="A63" s="28" t="n">
        <x:v>62</x:v>
      </x:c>
      <x:c r="B63" t="str">
        <x:v>Poliwrath</x:v>
      </x:c>
      <x:c r="C63" s="28" t="n">
        <x:v>90</x:v>
      </x:c>
      <x:c r="D63" s="28" t="n">
        <x:v>95</x:v>
      </x:c>
      <x:c r="E63" s="28" t="n">
        <x:v>95</x:v>
      </x:c>
      <x:c r="F63" s="28" t="n">
        <x:v>70</x:v>
      </x:c>
      <x:c r="G63" s="28" t="n">
        <x:v>90</x:v>
      </x:c>
      <x:c r="H63" s="28" t="n">
        <x:v>70</x:v>
      </x:c>
      <x:c r="I63" t="str">
        <x:v>Water / Fighting</x:v>
      </x:c>
    </x:row>
    <x:row r="64">
      <x:c r="A64" s="28" t="n">
        <x:v>63</x:v>
      </x:c>
      <x:c r="B64" t="str">
        <x:v>Abra</x:v>
      </x:c>
      <x:c r="C64" s="28" t="n">
        <x:v>25</x:v>
      </x:c>
      <x:c r="D64" s="28" t="n">
        <x:v>20</x:v>
      </x:c>
      <x:c r="E64" s="28" t="n">
        <x:v>15</x:v>
      </x:c>
      <x:c r="F64" s="28" t="n">
        <x:v>105</x:v>
      </x:c>
      <x:c r="G64" s="28" t="n">
        <x:v>55</x:v>
      </x:c>
      <x:c r="H64" s="28" t="n">
        <x:v>90</x:v>
      </x:c>
      <x:c r="I64" t="str">
        <x:v>Psychic</x:v>
      </x:c>
    </x:row>
    <x:row r="65">
      <x:c r="A65" s="28" t="n">
        <x:v>64</x:v>
      </x:c>
      <x:c r="B65" t="str">
        <x:v>Kadabra</x:v>
      </x:c>
      <x:c r="C65" s="28" t="n">
        <x:v>40</x:v>
      </x:c>
      <x:c r="D65" s="28" t="n">
        <x:v>35</x:v>
      </x:c>
      <x:c r="E65" s="28" t="n">
        <x:v>30</x:v>
      </x:c>
      <x:c r="F65" s="28" t="n">
        <x:v>120</x:v>
      </x:c>
      <x:c r="G65" s="28" t="n">
        <x:v>70</x:v>
      </x:c>
      <x:c r="H65" s="28" t="n">
        <x:v>105</x:v>
      </x:c>
      <x:c r="I65" t="str">
        <x:v>Psychic</x:v>
      </x:c>
    </x:row>
    <x:row r="66">
      <x:c r="A66" s="28" t="n">
        <x:v>65</x:v>
      </x:c>
      <x:c r="B66" t="str">
        <x:v>Alakazam</x:v>
      </x:c>
      <x:c r="C66" s="28" t="n">
        <x:v>55</x:v>
      </x:c>
      <x:c r="D66" s="28" t="n">
        <x:v>50</x:v>
      </x:c>
      <x:c r="E66" s="28" t="n">
        <x:v>45</x:v>
      </x:c>
      <x:c r="F66" s="28" t="n">
        <x:v>135</x:v>
      </x:c>
      <x:c r="G66" s="28" t="n">
        <x:v>95</x:v>
      </x:c>
      <x:c r="H66" s="28" t="n">
        <x:v>120</x:v>
      </x:c>
      <x:c r="I66" t="str">
        <x:v>Psychic</x:v>
      </x:c>
    </x:row>
    <x:row r="67">
      <x:c r="A67" s="28" t="n">
        <x:v>66</x:v>
      </x:c>
      <x:c r="B67" t="str">
        <x:v>Machop</x:v>
      </x:c>
      <x:c r="C67" s="28" t="n">
        <x:v>70</x:v>
      </x:c>
      <x:c r="D67" s="28" t="n">
        <x:v>80</x:v>
      </x:c>
      <x:c r="E67" s="28" t="n">
        <x:v>50</x:v>
      </x:c>
      <x:c r="F67" s="28" t="n">
        <x:v>35</x:v>
      </x:c>
      <x:c r="G67" s="28" t="n">
        <x:v>35</x:v>
      </x:c>
      <x:c r="H67" s="28" t="n">
        <x:v>35</x:v>
      </x:c>
      <x:c r="I67" t="str">
        <x:v>Fighting</x:v>
      </x:c>
    </x:row>
    <x:row r="68">
      <x:c r="A68" s="28" t="n">
        <x:v>67</x:v>
      </x:c>
      <x:c r="B68" t="str">
        <x:v>Machoke</x:v>
      </x:c>
      <x:c r="C68" s="28" t="n">
        <x:v>80</x:v>
      </x:c>
      <x:c r="D68" s="28" t="n">
        <x:v>100</x:v>
      </x:c>
      <x:c r="E68" s="28" t="n">
        <x:v>70</x:v>
      </x:c>
      <x:c r="F68" s="28" t="n">
        <x:v>50</x:v>
      </x:c>
      <x:c r="G68" s="28" t="n">
        <x:v>60</x:v>
      </x:c>
      <x:c r="H68" s="28" t="n">
        <x:v>45</x:v>
      </x:c>
      <x:c r="I68" t="str">
        <x:v>Fighting</x:v>
      </x:c>
    </x:row>
    <x:row r="69">
      <x:c r="A69" s="28" t="n">
        <x:v>68</x:v>
      </x:c>
      <x:c r="B69" t="str">
        <x:v>Machamp</x:v>
      </x:c>
      <x:c r="C69" s="28" t="n">
        <x:v>90</x:v>
      </x:c>
      <x:c r="D69" s="28" t="n">
        <x:v>130</x:v>
      </x:c>
      <x:c r="E69" s="28" t="n">
        <x:v>80</x:v>
      </x:c>
      <x:c r="F69" s="28" t="n">
        <x:v>65</x:v>
      </x:c>
      <x:c r="G69" s="28" t="n">
        <x:v>85</x:v>
      </x:c>
      <x:c r="H69" s="28" t="n">
        <x:v>55</x:v>
      </x:c>
      <x:c r="I69" t="str">
        <x:v>Fighting</x:v>
      </x:c>
    </x:row>
    <x:row r="70">
      <x:c r="A70" s="28" t="n">
        <x:v>69</x:v>
      </x:c>
      <x:c r="B70" t="str">
        <x:v>Bellsprout</x:v>
      </x:c>
      <x:c r="C70" s="28" t="n">
        <x:v>50</x:v>
      </x:c>
      <x:c r="D70" s="28" t="n">
        <x:v>75</x:v>
      </x:c>
      <x:c r="E70" s="28" t="n">
        <x:v>35</x:v>
      </x:c>
      <x:c r="F70" s="28" t="n">
        <x:v>70</x:v>
      </x:c>
      <x:c r="G70" s="28" t="n">
        <x:v>30</x:v>
      </x:c>
      <x:c r="H70" s="28" t="n">
        <x:v>40</x:v>
      </x:c>
      <x:c r="I70" t="str">
        <x:v>Grass / Poison</x:v>
      </x:c>
    </x:row>
    <x:row r="71">
      <x:c r="A71" s="28" t="n">
        <x:v>70</x:v>
      </x:c>
      <x:c r="B71" t="str">
        <x:v>Weepinbell</x:v>
      </x:c>
      <x:c r="C71" s="28" t="n">
        <x:v>65</x:v>
      </x:c>
      <x:c r="D71" s="28" t="n">
        <x:v>90</x:v>
      </x:c>
      <x:c r="E71" s="28" t="n">
        <x:v>50</x:v>
      </x:c>
      <x:c r="F71" s="28" t="n">
        <x:v>85</x:v>
      </x:c>
      <x:c r="G71" s="28" t="n">
        <x:v>45</x:v>
      </x:c>
      <x:c r="H71" s="28" t="n">
        <x:v>55</x:v>
      </x:c>
      <x:c r="I71" t="str">
        <x:v>Grass / Poison</x:v>
      </x:c>
    </x:row>
    <x:row r="72">
      <x:c r="A72" s="28" t="n">
        <x:v>71</x:v>
      </x:c>
      <x:c r="B72" t="str">
        <x:v>Victreebel</x:v>
      </x:c>
      <x:c r="C72" s="28" t="n">
        <x:v>80</x:v>
      </x:c>
      <x:c r="D72" s="28" t="n">
        <x:v>105</x:v>
      </x:c>
      <x:c r="E72" s="28" t="n">
        <x:v>65</x:v>
      </x:c>
      <x:c r="F72" s="28" t="n">
        <x:v>100</x:v>
      </x:c>
      <x:c r="G72" s="28" t="n">
        <x:v>70</x:v>
      </x:c>
      <x:c r="H72" s="28" t="n">
        <x:v>70</x:v>
      </x:c>
      <x:c r="I72" t="str">
        <x:v>Grass / Poison</x:v>
      </x:c>
    </x:row>
    <x:row r="73">
      <x:c r="A73" s="28" t="n">
        <x:v>72</x:v>
      </x:c>
      <x:c r="B73" t="str">
        <x:v>Tentacool</x:v>
      </x:c>
      <x:c r="C73" s="28" t="n">
        <x:v>40</x:v>
      </x:c>
      <x:c r="D73" s="28" t="n">
        <x:v>40</x:v>
      </x:c>
      <x:c r="E73" s="28" t="n">
        <x:v>35</x:v>
      </x:c>
      <x:c r="F73" s="28" t="n">
        <x:v>50</x:v>
      </x:c>
      <x:c r="G73" s="28" t="n">
        <x:v>100</x:v>
      </x:c>
      <x:c r="H73" s="28" t="n">
        <x:v>70</x:v>
      </x:c>
      <x:c r="I73" t="str">
        <x:v>Water / Poison</x:v>
      </x:c>
    </x:row>
    <x:row r="74">
      <x:c r="A74" s="28" t="n">
        <x:v>73</x:v>
      </x:c>
      <x:c r="B74" t="str">
        <x:v>Tentacruel</x:v>
      </x:c>
      <x:c r="C74" s="28" t="n">
        <x:v>80</x:v>
      </x:c>
      <x:c r="D74" s="28" t="n">
        <x:v>70</x:v>
      </x:c>
      <x:c r="E74" s="28" t="n">
        <x:v>65</x:v>
      </x:c>
      <x:c r="F74" s="28" t="n">
        <x:v>80</x:v>
      </x:c>
      <x:c r="G74" s="28" t="n">
        <x:v>120</x:v>
      </x:c>
      <x:c r="H74" s="28" t="n">
        <x:v>100</x:v>
      </x:c>
      <x:c r="I74" t="str">
        <x:v>Water / Poison</x:v>
      </x:c>
    </x:row>
    <x:row r="75">
      <x:c r="A75" s="28" t="n">
        <x:v>74</x:v>
      </x:c>
      <x:c r="B75" t="str">
        <x:v>Geodude</x:v>
      </x:c>
      <x:c r="C75" s="28" t="n">
        <x:v>40</x:v>
      </x:c>
      <x:c r="D75" s="28" t="n">
        <x:v>80</x:v>
      </x:c>
      <x:c r="E75" s="28" t="n">
        <x:v>100</x:v>
      </x:c>
      <x:c r="F75" s="28" t="n">
        <x:v>30</x:v>
      </x:c>
      <x:c r="G75" s="28" t="n">
        <x:v>30</x:v>
      </x:c>
      <x:c r="H75" s="28" t="n">
        <x:v>20</x:v>
      </x:c>
      <x:c r="I75" t="str">
        <x:v>Rock / Ground</x:v>
      </x:c>
    </x:row>
    <x:row r="76">
      <x:c r="A76" s="28" t="n">
        <x:v>75</x:v>
      </x:c>
      <x:c r="B76" t="str">
        <x:v>Graveler</x:v>
      </x:c>
      <x:c r="C76" s="28" t="n">
        <x:v>55</x:v>
      </x:c>
      <x:c r="D76" s="28" t="n">
        <x:v>95</x:v>
      </x:c>
      <x:c r="E76" s="28" t="n">
        <x:v>115</x:v>
      </x:c>
      <x:c r="F76" s="28" t="n">
        <x:v>45</x:v>
      </x:c>
      <x:c r="G76" s="28" t="n">
        <x:v>45</x:v>
      </x:c>
      <x:c r="H76" s="28" t="n">
        <x:v>35</x:v>
      </x:c>
      <x:c r="I76" t="str">
        <x:v>Rock / Ground</x:v>
      </x:c>
    </x:row>
    <x:row r="77">
      <x:c r="A77" s="28" t="n">
        <x:v>76</x:v>
      </x:c>
      <x:c r="B77" t="str">
        <x:v>Golem</x:v>
      </x:c>
      <x:c r="C77" s="28" t="n">
        <x:v>80</x:v>
      </x:c>
      <x:c r="D77" s="28" t="n">
        <x:v>120</x:v>
      </x:c>
      <x:c r="E77" s="28" t="n">
        <x:v>130</x:v>
      </x:c>
      <x:c r="F77" s="28" t="n">
        <x:v>55</x:v>
      </x:c>
      <x:c r="G77" s="28" t="n">
        <x:v>65</x:v>
      </x:c>
      <x:c r="H77" s="28" t="n">
        <x:v>45</x:v>
      </x:c>
      <x:c r="I77" t="str">
        <x:v>Rock / Ground</x:v>
      </x:c>
    </x:row>
    <x:row r="78">
      <x:c r="A78" s="28" t="n">
        <x:v>77</x:v>
      </x:c>
      <x:c r="B78" t="str">
        <x:v>Ponyta</x:v>
      </x:c>
      <x:c r="C78" s="28" t="n">
        <x:v>50</x:v>
      </x:c>
      <x:c r="D78" s="28" t="n">
        <x:v>85</x:v>
      </x:c>
      <x:c r="E78" s="28" t="n">
        <x:v>55</x:v>
      </x:c>
      <x:c r="F78" s="28" t="n">
        <x:v>65</x:v>
      </x:c>
      <x:c r="G78" s="28" t="n">
        <x:v>65</x:v>
      </x:c>
      <x:c r="H78" s="28" t="n">
        <x:v>90</x:v>
      </x:c>
      <x:c r="I78" t="str">
        <x:v>Fire</x:v>
      </x:c>
    </x:row>
    <x:row r="79">
      <x:c r="A79" s="28" t="n">
        <x:v>78</x:v>
      </x:c>
      <x:c r="B79" t="str">
        <x:v>Rapidash</x:v>
      </x:c>
      <x:c r="C79" s="28" t="n">
        <x:v>65</x:v>
      </x:c>
      <x:c r="D79" s="28" t="n">
        <x:v>100</x:v>
      </x:c>
      <x:c r="E79" s="28" t="n">
        <x:v>70</x:v>
      </x:c>
      <x:c r="F79" s="28" t="n">
        <x:v>80</x:v>
      </x:c>
      <x:c r="G79" s="28" t="n">
        <x:v>80</x:v>
      </x:c>
      <x:c r="H79" s="28" t="n">
        <x:v>105</x:v>
      </x:c>
      <x:c r="I79" t="str">
        <x:v>Fire</x:v>
      </x:c>
    </x:row>
    <x:row r="80">
      <x:c r="A80" s="28" t="n">
        <x:v>79</x:v>
      </x:c>
      <x:c r="B80" t="str">
        <x:v>Slowpoke</x:v>
      </x:c>
      <x:c r="C80" s="28" t="n">
        <x:v>90</x:v>
      </x:c>
      <x:c r="D80" s="28" t="n">
        <x:v>65</x:v>
      </x:c>
      <x:c r="E80" s="28" t="n">
        <x:v>65</x:v>
      </x:c>
      <x:c r="F80" s="28" t="n">
        <x:v>40</x:v>
      </x:c>
      <x:c r="G80" s="28" t="n">
        <x:v>40</x:v>
      </x:c>
      <x:c r="H80" s="28" t="n">
        <x:v>15</x:v>
      </x:c>
      <x:c r="I80" t="str">
        <x:v>Water / Psychic</x:v>
      </x:c>
    </x:row>
    <x:row r="81">
      <x:c r="A81" s="28" t="n">
        <x:v>80</x:v>
      </x:c>
      <x:c r="B81" t="str">
        <x:v>Slowbro</x:v>
      </x:c>
      <x:c r="C81" s="28" t="n">
        <x:v>95</x:v>
      </x:c>
      <x:c r="D81" s="28" t="n">
        <x:v>75</x:v>
      </x:c>
      <x:c r="E81" s="28" t="n">
        <x:v>110</x:v>
      </x:c>
      <x:c r="F81" s="28" t="n">
        <x:v>100</x:v>
      </x:c>
      <x:c r="G81" s="28" t="n">
        <x:v>80</x:v>
      </x:c>
      <x:c r="H81" s="28" t="n">
        <x:v>30</x:v>
      </x:c>
      <x:c r="I81" t="str">
        <x:v>Water / Psychic</x:v>
      </x:c>
    </x:row>
    <x:row r="82">
      <x:c r="A82" s="28" t="n">
        <x:v>81</x:v>
      </x:c>
      <x:c r="B82" t="str">
        <x:v>Magnemite</x:v>
      </x:c>
      <x:c r="C82" s="28" t="n">
        <x:v>25</x:v>
      </x:c>
      <x:c r="D82" s="28" t="n">
        <x:v>35</x:v>
      </x:c>
      <x:c r="E82" s="28" t="n">
        <x:v>70</x:v>
      </x:c>
      <x:c r="F82" s="28" t="n">
        <x:v>95</x:v>
      </x:c>
      <x:c r="G82" s="28" t="n">
        <x:v>55</x:v>
      </x:c>
      <x:c r="H82" s="28" t="n">
        <x:v>45</x:v>
      </x:c>
      <x:c r="I82" t="str">
        <x:v>Electric / Steel</x:v>
      </x:c>
    </x:row>
    <x:row r="83">
      <x:c r="A83" s="28" t="n">
        <x:v>82</x:v>
      </x:c>
      <x:c r="B83" t="str">
        <x:v>Magneton</x:v>
      </x:c>
      <x:c r="C83" s="28" t="n">
        <x:v>50</x:v>
      </x:c>
      <x:c r="D83" s="28" t="n">
        <x:v>60</x:v>
      </x:c>
      <x:c r="E83" s="28" t="n">
        <x:v>95</x:v>
      </x:c>
      <x:c r="F83" s="28" t="n">
        <x:v>120</x:v>
      </x:c>
      <x:c r="G83" s="28" t="n">
        <x:v>70</x:v>
      </x:c>
      <x:c r="H83" s="28" t="n">
        <x:v>70</x:v>
      </x:c>
      <x:c r="I83" t="str">
        <x:v>Electric / Steel</x:v>
      </x:c>
    </x:row>
    <x:row r="84">
      <x:c r="A84" s="28" t="n">
        <x:v>83</x:v>
      </x:c>
      <x:c r="B84" t="str">
        <x:v>Farfetchd</x:v>
      </x:c>
      <x:c r="C84" s="28" t="n">
        <x:v>52</x:v>
      </x:c>
      <x:c r="D84" s="28" t="n">
        <x:v>90</x:v>
      </x:c>
      <x:c r="E84" s="28" t="n">
        <x:v>55</x:v>
      </x:c>
      <x:c r="F84" s="28" t="n">
        <x:v>58</x:v>
      </x:c>
      <x:c r="G84" s="28" t="n">
        <x:v>62</x:v>
      </x:c>
      <x:c r="H84" s="28" t="n">
        <x:v>60</x:v>
      </x:c>
      <x:c r="I84" t="str">
        <x:v>Normal / Flying</x:v>
      </x:c>
    </x:row>
    <x:row r="85">
      <x:c r="A85" s="28" t="n">
        <x:v>84</x:v>
      </x:c>
      <x:c r="B85" t="str">
        <x:v>Doduo</x:v>
      </x:c>
      <x:c r="C85" s="28" t="n">
        <x:v>35</x:v>
      </x:c>
      <x:c r="D85" s="28" t="n">
        <x:v>85</x:v>
      </x:c>
      <x:c r="E85" s="28" t="n">
        <x:v>45</x:v>
      </x:c>
      <x:c r="F85" s="28" t="n">
        <x:v>35</x:v>
      </x:c>
      <x:c r="G85" s="28" t="n">
        <x:v>35</x:v>
      </x:c>
      <x:c r="H85" s="28" t="n">
        <x:v>75</x:v>
      </x:c>
      <x:c r="I85" t="str">
        <x:v>Normal / Flying</x:v>
      </x:c>
    </x:row>
    <x:row r="86">
      <x:c r="A86" s="28" t="n">
        <x:v>85</x:v>
      </x:c>
      <x:c r="B86" t="str">
        <x:v>Dodrio</x:v>
      </x:c>
      <x:c r="C86" s="28" t="n">
        <x:v>60</x:v>
      </x:c>
      <x:c r="D86" s="28" t="n">
        <x:v>110</x:v>
      </x:c>
      <x:c r="E86" s="28" t="n">
        <x:v>70</x:v>
      </x:c>
      <x:c r="F86" s="28" t="n">
        <x:v>60</x:v>
      </x:c>
      <x:c r="G86" s="28" t="n">
        <x:v>60</x:v>
      </x:c>
      <x:c r="H86" s="28" t="n">
        <x:v>110</x:v>
      </x:c>
      <x:c r="I86" t="str">
        <x:v>Normal / Flying</x:v>
      </x:c>
    </x:row>
    <x:row r="87">
      <x:c r="A87" s="28" t="n">
        <x:v>86</x:v>
      </x:c>
      <x:c r="B87" t="str">
        <x:v>Seel</x:v>
      </x:c>
      <x:c r="C87" s="28" t="n">
        <x:v>65</x:v>
      </x:c>
      <x:c r="D87" s="28" t="n">
        <x:v>45</x:v>
      </x:c>
      <x:c r="E87" s="28" t="n">
        <x:v>55</x:v>
      </x:c>
      <x:c r="F87" s="28" t="n">
        <x:v>45</x:v>
      </x:c>
      <x:c r="G87" s="28" t="n">
        <x:v>70</x:v>
      </x:c>
      <x:c r="H87" s="28" t="n">
        <x:v>45</x:v>
      </x:c>
      <x:c r="I87" t="str">
        <x:v>Water</x:v>
      </x:c>
    </x:row>
    <x:row r="88">
      <x:c r="A88" s="28" t="n">
        <x:v>87</x:v>
      </x:c>
      <x:c r="B88" t="str">
        <x:v>Dewgong</x:v>
      </x:c>
      <x:c r="C88" s="28" t="n">
        <x:v>90</x:v>
      </x:c>
      <x:c r="D88" s="28" t="n">
        <x:v>70</x:v>
      </x:c>
      <x:c r="E88" s="28" t="n">
        <x:v>80</x:v>
      </x:c>
      <x:c r="F88" s="28" t="n">
        <x:v>70</x:v>
      </x:c>
      <x:c r="G88" s="28" t="n">
        <x:v>95</x:v>
      </x:c>
      <x:c r="H88" s="28" t="n">
        <x:v>70</x:v>
      </x:c>
      <x:c r="I88" t="str">
        <x:v>Water / Ice</x:v>
      </x:c>
    </x:row>
    <x:row r="89">
      <x:c r="A89" s="28" t="n">
        <x:v>88</x:v>
      </x:c>
      <x:c r="B89" t="str">
        <x:v>Grimer</x:v>
      </x:c>
      <x:c r="C89" s="28" t="n">
        <x:v>80</x:v>
      </x:c>
      <x:c r="D89" s="28" t="n">
        <x:v>80</x:v>
      </x:c>
      <x:c r="E89" s="28" t="n">
        <x:v>50</x:v>
      </x:c>
      <x:c r="F89" s="28" t="n">
        <x:v>40</x:v>
      </x:c>
      <x:c r="G89" s="28" t="n">
        <x:v>50</x:v>
      </x:c>
      <x:c r="H89" s="28" t="n">
        <x:v>25</x:v>
      </x:c>
      <x:c r="I89" t="str">
        <x:v>Poison</x:v>
      </x:c>
    </x:row>
    <x:row r="90">
      <x:c r="A90" s="28" t="n">
        <x:v>89</x:v>
      </x:c>
      <x:c r="B90" t="str">
        <x:v>Muk</x:v>
      </x:c>
      <x:c r="C90" s="28" t="n">
        <x:v>105</x:v>
      </x:c>
      <x:c r="D90" s="28" t="n">
        <x:v>105</x:v>
      </x:c>
      <x:c r="E90" s="28" t="n">
        <x:v>75</x:v>
      </x:c>
      <x:c r="F90" s="28" t="n">
        <x:v>65</x:v>
      </x:c>
      <x:c r="G90" s="28" t="n">
        <x:v>100</x:v>
      </x:c>
      <x:c r="H90" s="28" t="n">
        <x:v>50</x:v>
      </x:c>
      <x:c r="I90" t="str">
        <x:v>Poison</x:v>
      </x:c>
    </x:row>
    <x:row r="91">
      <x:c r="A91" s="28" t="n">
        <x:v>90</x:v>
      </x:c>
      <x:c r="B91" t="str">
        <x:v>Shellder</x:v>
      </x:c>
      <x:c r="C91" s="28" t="n">
        <x:v>30</x:v>
      </x:c>
      <x:c r="D91" s="28" t="n">
        <x:v>65</x:v>
      </x:c>
      <x:c r="E91" s="28" t="n">
        <x:v>100</x:v>
      </x:c>
      <x:c r="F91" s="28" t="n">
        <x:v>45</x:v>
      </x:c>
      <x:c r="G91" s="28" t="n">
        <x:v>25</x:v>
      </x:c>
      <x:c r="H91" s="28" t="n">
        <x:v>40</x:v>
      </x:c>
      <x:c r="I91" t="str">
        <x:v>Water</x:v>
      </x:c>
    </x:row>
    <x:row r="92">
      <x:c r="A92" s="28" t="n">
        <x:v>91</x:v>
      </x:c>
      <x:c r="B92" t="str">
        <x:v>Cloyster</x:v>
      </x:c>
      <x:c r="C92" s="28" t="n">
        <x:v>50</x:v>
      </x:c>
      <x:c r="D92" s="28" t="n">
        <x:v>95</x:v>
      </x:c>
      <x:c r="E92" s="28" t="n">
        <x:v>180</x:v>
      </x:c>
      <x:c r="F92" s="28" t="n">
        <x:v>85</x:v>
      </x:c>
      <x:c r="G92" s="28" t="n">
        <x:v>45</x:v>
      </x:c>
      <x:c r="H92" s="28" t="n">
        <x:v>70</x:v>
      </x:c>
      <x:c r="I92" t="str">
        <x:v>Water / Ice</x:v>
      </x:c>
    </x:row>
    <x:row r="93">
      <x:c r="A93" s="28" t="n">
        <x:v>92</x:v>
      </x:c>
      <x:c r="B93" t="str">
        <x:v>Gastly</x:v>
      </x:c>
      <x:c r="C93" s="28" t="n">
        <x:v>30</x:v>
      </x:c>
      <x:c r="D93" s="28" t="n">
        <x:v>35</x:v>
      </x:c>
      <x:c r="E93" s="28" t="n">
        <x:v>30</x:v>
      </x:c>
      <x:c r="F93" s="28" t="n">
        <x:v>100</x:v>
      </x:c>
      <x:c r="G93" s="28" t="n">
        <x:v>35</x:v>
      </x:c>
      <x:c r="H93" s="28" t="n">
        <x:v>80</x:v>
      </x:c>
      <x:c r="I93" t="str">
        <x:v>Ghost / Poison</x:v>
      </x:c>
    </x:row>
    <x:row r="94">
      <x:c r="A94" s="28" t="n">
        <x:v>93</x:v>
      </x:c>
      <x:c r="B94" t="str">
        <x:v>Haunter</x:v>
      </x:c>
      <x:c r="C94" s="28" t="n">
        <x:v>45</x:v>
      </x:c>
      <x:c r="D94" s="28" t="n">
        <x:v>50</x:v>
      </x:c>
      <x:c r="E94" s="28" t="n">
        <x:v>45</x:v>
      </x:c>
      <x:c r="F94" s="28" t="n">
        <x:v>115</x:v>
      </x:c>
      <x:c r="G94" s="28" t="n">
        <x:v>55</x:v>
      </x:c>
      <x:c r="H94" s="28" t="n">
        <x:v>95</x:v>
      </x:c>
      <x:c r="I94" t="str">
        <x:v>Ghost / Poison</x:v>
      </x:c>
    </x:row>
    <x:row r="95">
      <x:c r="A95" s="28" t="n">
        <x:v>94</x:v>
      </x:c>
      <x:c r="B95" t="str">
        <x:v>Gengar</x:v>
      </x:c>
      <x:c r="C95" s="28" t="n">
        <x:v>60</x:v>
      </x:c>
      <x:c r="D95" s="28" t="n">
        <x:v>65</x:v>
      </x:c>
      <x:c r="E95" s="28" t="n">
        <x:v>60</x:v>
      </x:c>
      <x:c r="F95" s="28" t="n">
        <x:v>130</x:v>
      </x:c>
      <x:c r="G95" s="28" t="n">
        <x:v>75</x:v>
      </x:c>
      <x:c r="H95" s="28" t="n">
        <x:v>110</x:v>
      </x:c>
      <x:c r="I95" t="str">
        <x:v>Ghost / Poison</x:v>
      </x:c>
    </x:row>
    <x:row r="96">
      <x:c r="A96" s="28" t="n">
        <x:v>95</x:v>
      </x:c>
      <x:c r="B96" t="str">
        <x:v>Onix</x:v>
      </x:c>
      <x:c r="C96" s="28" t="n">
        <x:v>35</x:v>
      </x:c>
      <x:c r="D96" s="28" t="n">
        <x:v>45</x:v>
      </x:c>
      <x:c r="E96" s="28" t="n">
        <x:v>160</x:v>
      </x:c>
      <x:c r="F96" s="28" t="n">
        <x:v>30</x:v>
      </x:c>
      <x:c r="G96" s="28" t="n">
        <x:v>45</x:v>
      </x:c>
      <x:c r="H96" s="28" t="n">
        <x:v>70</x:v>
      </x:c>
      <x:c r="I96" t="str">
        <x:v>Rock / Ground</x:v>
      </x:c>
    </x:row>
    <x:row r="97">
      <x:c r="A97" s="28" t="n">
        <x:v>96</x:v>
      </x:c>
      <x:c r="B97" t="str">
        <x:v>Drowzee</x:v>
      </x:c>
      <x:c r="C97" s="28" t="n">
        <x:v>60</x:v>
      </x:c>
      <x:c r="D97" s="28" t="n">
        <x:v>48</x:v>
      </x:c>
      <x:c r="E97" s="28" t="n">
        <x:v>45</x:v>
      </x:c>
      <x:c r="F97" s="28" t="n">
        <x:v>43</x:v>
      </x:c>
      <x:c r="G97" s="28" t="n">
        <x:v>90</x:v>
      </x:c>
      <x:c r="H97" s="28" t="n">
        <x:v>42</x:v>
      </x:c>
      <x:c r="I97" t="str">
        <x:v>Psychic</x:v>
      </x:c>
    </x:row>
    <x:row r="98">
      <x:c r="A98" s="28" t="n">
        <x:v>97</x:v>
      </x:c>
      <x:c r="B98" t="str">
        <x:v>Hypno</x:v>
      </x:c>
      <x:c r="C98" s="28" t="n">
        <x:v>85</x:v>
      </x:c>
      <x:c r="D98" s="28" t="n">
        <x:v>73</x:v>
      </x:c>
      <x:c r="E98" s="28" t="n">
        <x:v>70</x:v>
      </x:c>
      <x:c r="F98" s="28" t="n">
        <x:v>73</x:v>
      </x:c>
      <x:c r="G98" s="28" t="n">
        <x:v>115</x:v>
      </x:c>
      <x:c r="H98" s="28" t="n">
        <x:v>67</x:v>
      </x:c>
      <x:c r="I98" t="str">
        <x:v>Psychic</x:v>
      </x:c>
    </x:row>
    <x:row r="99">
      <x:c r="A99" s="28" t="n">
        <x:v>98</x:v>
      </x:c>
      <x:c r="B99" t="str">
        <x:v>Krabby</x:v>
      </x:c>
      <x:c r="C99" s="28" t="n">
        <x:v>30</x:v>
      </x:c>
      <x:c r="D99" s="28" t="n">
        <x:v>105</x:v>
      </x:c>
      <x:c r="E99" s="28" t="n">
        <x:v>90</x:v>
      </x:c>
      <x:c r="F99" s="28" t="n">
        <x:v>25</x:v>
      </x:c>
      <x:c r="G99" s="28" t="n">
        <x:v>25</x:v>
      </x:c>
      <x:c r="H99" s="28" t="n">
        <x:v>50</x:v>
      </x:c>
      <x:c r="I99" t="str">
        <x:v>Water</x:v>
      </x:c>
    </x:row>
    <x:row r="100">
      <x:c r="A100" s="28" t="n">
        <x:v>99</x:v>
      </x:c>
      <x:c r="B100" t="str">
        <x:v>Kingler</x:v>
      </x:c>
      <x:c r="C100" s="28" t="n">
        <x:v>55</x:v>
      </x:c>
      <x:c r="D100" s="28" t="n">
        <x:v>130</x:v>
      </x:c>
      <x:c r="E100" s="28" t="n">
        <x:v>115</x:v>
      </x:c>
      <x:c r="F100" s="28" t="n">
        <x:v>50</x:v>
      </x:c>
      <x:c r="G100" s="28" t="n">
        <x:v>50</x:v>
      </x:c>
      <x:c r="H100" s="28" t="n">
        <x:v>75</x:v>
      </x:c>
      <x:c r="I100" t="str">
        <x:v>Water</x:v>
      </x:c>
    </x:row>
    <x:row r="101">
      <x:c r="A101" s="28" t="n">
        <x:v>100</x:v>
      </x:c>
      <x:c r="B101" t="str">
        <x:v>Voltorb</x:v>
      </x:c>
      <x:c r="C101" s="28" t="n">
        <x:v>40</x:v>
      </x:c>
      <x:c r="D101" s="28" t="n">
        <x:v>30</x:v>
      </x:c>
      <x:c r="E101" s="28" t="n">
        <x:v>50</x:v>
      </x:c>
      <x:c r="F101" s="28" t="n">
        <x:v>55</x:v>
      </x:c>
      <x:c r="G101" s="28" t="n">
        <x:v>55</x:v>
      </x:c>
      <x:c r="H101" s="28" t="n">
        <x:v>100</x:v>
      </x:c>
      <x:c r="I101" t="str">
        <x:v>Electric</x:v>
      </x:c>
    </x:row>
    <x:row r="102">
      <x:c r="A102" s="28" t="n">
        <x:v>101</x:v>
      </x:c>
      <x:c r="B102" t="str">
        <x:v>Electrode</x:v>
      </x:c>
      <x:c r="C102" s="28" t="n">
        <x:v>60</x:v>
      </x:c>
      <x:c r="D102" s="28" t="n">
        <x:v>50</x:v>
      </x:c>
      <x:c r="E102" s="28" t="n">
        <x:v>70</x:v>
      </x:c>
      <x:c r="F102" s="28" t="n">
        <x:v>80</x:v>
      </x:c>
      <x:c r="G102" s="28" t="n">
        <x:v>80</x:v>
      </x:c>
      <x:c r="H102" s="28" t="n">
        <x:v>150</x:v>
      </x:c>
      <x:c r="I102" t="str">
        <x:v>Electric</x:v>
      </x:c>
    </x:row>
    <x:row r="103">
      <x:c r="A103" s="28" t="n">
        <x:v>102</x:v>
      </x:c>
      <x:c r="B103" t="str">
        <x:v>Exeggcute</x:v>
      </x:c>
      <x:c r="C103" s="28" t="n">
        <x:v>60</x:v>
      </x:c>
      <x:c r="D103" s="28" t="n">
        <x:v>40</x:v>
      </x:c>
      <x:c r="E103" s="28" t="n">
        <x:v>80</x:v>
      </x:c>
      <x:c r="F103" s="28" t="n">
        <x:v>60</x:v>
      </x:c>
      <x:c r="G103" s="28" t="n">
        <x:v>45</x:v>
      </x:c>
      <x:c r="H103" s="28" t="n">
        <x:v>40</x:v>
      </x:c>
      <x:c r="I103" t="str">
        <x:v>Grass / Psychic</x:v>
      </x:c>
    </x:row>
    <x:row r="104">
      <x:c r="A104" s="28" t="n">
        <x:v>103</x:v>
      </x:c>
      <x:c r="B104" t="str">
        <x:v>Exeggutor</x:v>
      </x:c>
      <x:c r="C104" s="28" t="n">
        <x:v>95</x:v>
      </x:c>
      <x:c r="D104" s="28" t="n">
        <x:v>95</x:v>
      </x:c>
      <x:c r="E104" s="28" t="n">
        <x:v>85</x:v>
      </x:c>
      <x:c r="F104" s="28" t="n">
        <x:v>125</x:v>
      </x:c>
      <x:c r="G104" s="28" t="n">
        <x:v>75</x:v>
      </x:c>
      <x:c r="H104" s="28" t="n">
        <x:v>55</x:v>
      </x:c>
      <x:c r="I104" t="str">
        <x:v>Grass / Psychic</x:v>
      </x:c>
    </x:row>
    <x:row r="105">
      <x:c r="A105" s="28" t="n">
        <x:v>104</x:v>
      </x:c>
      <x:c r="B105" t="str">
        <x:v>Cubone</x:v>
      </x:c>
      <x:c r="C105" s="28" t="n">
        <x:v>50</x:v>
      </x:c>
      <x:c r="D105" s="28" t="n">
        <x:v>50</x:v>
      </x:c>
      <x:c r="E105" s="28" t="n">
        <x:v>95</x:v>
      </x:c>
      <x:c r="F105" s="28" t="n">
        <x:v>40</x:v>
      </x:c>
      <x:c r="G105" s="28" t="n">
        <x:v>50</x:v>
      </x:c>
      <x:c r="H105" s="28" t="n">
        <x:v>35</x:v>
      </x:c>
      <x:c r="I105" t="str">
        <x:v>Ground</x:v>
      </x:c>
    </x:row>
    <x:row r="106">
      <x:c r="A106" s="28" t="n">
        <x:v>105</x:v>
      </x:c>
      <x:c r="B106" t="str">
        <x:v>Marowak</x:v>
      </x:c>
      <x:c r="C106" s="28" t="n">
        <x:v>60</x:v>
      </x:c>
      <x:c r="D106" s="28" t="n">
        <x:v>80</x:v>
      </x:c>
      <x:c r="E106" s="28" t="n">
        <x:v>110</x:v>
      </x:c>
      <x:c r="F106" s="28" t="n">
        <x:v>50</x:v>
      </x:c>
      <x:c r="G106" s="28" t="n">
        <x:v>80</x:v>
      </x:c>
      <x:c r="H106" s="28" t="n">
        <x:v>45</x:v>
      </x:c>
      <x:c r="I106" t="str">
        <x:v>Ground</x:v>
      </x:c>
    </x:row>
    <x:row r="107">
      <x:c r="A107" s="28" t="n">
        <x:v>106</x:v>
      </x:c>
      <x:c r="B107" t="str">
        <x:v>Hitmonlee</x:v>
      </x:c>
      <x:c r="C107" s="28" t="n">
        <x:v>50</x:v>
      </x:c>
      <x:c r="D107" s="28" t="n">
        <x:v>120</x:v>
      </x:c>
      <x:c r="E107" s="28" t="n">
        <x:v>53</x:v>
      </x:c>
      <x:c r="F107" s="28" t="n">
        <x:v>35</x:v>
      </x:c>
      <x:c r="G107" s="28" t="n">
        <x:v>110</x:v>
      </x:c>
      <x:c r="H107" s="28" t="n">
        <x:v>87</x:v>
      </x:c>
      <x:c r="I107" t="str">
        <x:v>Fighting</x:v>
      </x:c>
    </x:row>
    <x:row r="108">
      <x:c r="A108" s="28" t="n">
        <x:v>107</x:v>
      </x:c>
      <x:c r="B108" t="str">
        <x:v>Hitmonchan</x:v>
      </x:c>
      <x:c r="C108" s="28" t="n">
        <x:v>50</x:v>
      </x:c>
      <x:c r="D108" s="28" t="n">
        <x:v>105</x:v>
      </x:c>
      <x:c r="E108" s="28" t="n">
        <x:v>79</x:v>
      </x:c>
      <x:c r="F108" s="28" t="n">
        <x:v>35</x:v>
      </x:c>
      <x:c r="G108" s="28" t="n">
        <x:v>110</x:v>
      </x:c>
      <x:c r="H108" s="28" t="n">
        <x:v>76</x:v>
      </x:c>
      <x:c r="I108" t="str">
        <x:v>Fighting</x:v>
      </x:c>
    </x:row>
    <x:row r="109">
      <x:c r="A109" s="28" t="n">
        <x:v>108</x:v>
      </x:c>
      <x:c r="B109" t="str">
        <x:v>Lickitung</x:v>
      </x:c>
      <x:c r="C109" s="28" t="n">
        <x:v>90</x:v>
      </x:c>
      <x:c r="D109" s="28" t="n">
        <x:v>55</x:v>
      </x:c>
      <x:c r="E109" s="28" t="n">
        <x:v>75</x:v>
      </x:c>
      <x:c r="F109" s="28" t="n">
        <x:v>60</x:v>
      </x:c>
      <x:c r="G109" s="28" t="n">
        <x:v>75</x:v>
      </x:c>
      <x:c r="H109" s="28" t="n">
        <x:v>30</x:v>
      </x:c>
      <x:c r="I109" t="str">
        <x:v>Normal</x:v>
      </x:c>
    </x:row>
    <x:row r="110">
      <x:c r="A110" s="28" t="n">
        <x:v>109</x:v>
      </x:c>
      <x:c r="B110" t="str">
        <x:v>Koffing</x:v>
      </x:c>
      <x:c r="C110" s="28" t="n">
        <x:v>40</x:v>
      </x:c>
      <x:c r="D110" s="28" t="n">
        <x:v>65</x:v>
      </x:c>
      <x:c r="E110" s="28" t="n">
        <x:v>95</x:v>
      </x:c>
      <x:c r="F110" s="28" t="n">
        <x:v>60</x:v>
      </x:c>
      <x:c r="G110" s="28" t="n">
        <x:v>45</x:v>
      </x:c>
      <x:c r="H110" s="28" t="n">
        <x:v>35</x:v>
      </x:c>
      <x:c r="I110" t="str">
        <x:v>Poison</x:v>
      </x:c>
    </x:row>
    <x:row r="111">
      <x:c r="A111" s="28" t="n">
        <x:v>110</x:v>
      </x:c>
      <x:c r="B111" t="str">
        <x:v>Weezing</x:v>
      </x:c>
      <x:c r="C111" s="28" t="n">
        <x:v>65</x:v>
      </x:c>
      <x:c r="D111" s="28" t="n">
        <x:v>90</x:v>
      </x:c>
      <x:c r="E111" s="28" t="n">
        <x:v>120</x:v>
      </x:c>
      <x:c r="F111" s="28" t="n">
        <x:v>85</x:v>
      </x:c>
      <x:c r="G111" s="28" t="n">
        <x:v>70</x:v>
      </x:c>
      <x:c r="H111" s="28" t="n">
        <x:v>60</x:v>
      </x:c>
      <x:c r="I111" t="str">
        <x:v>Poison</x:v>
      </x:c>
    </x:row>
    <x:row r="112">
      <x:c r="A112" s="28" t="n">
        <x:v>111</x:v>
      </x:c>
      <x:c r="B112" t="str">
        <x:v>Rhyhorn</x:v>
      </x:c>
      <x:c r="C112" s="28" t="n">
        <x:v>80</x:v>
      </x:c>
      <x:c r="D112" s="28" t="n">
        <x:v>85</x:v>
      </x:c>
      <x:c r="E112" s="28" t="n">
        <x:v>95</x:v>
      </x:c>
      <x:c r="F112" s="28" t="n">
        <x:v>30</x:v>
      </x:c>
      <x:c r="G112" s="28" t="n">
        <x:v>30</x:v>
      </x:c>
      <x:c r="H112" s="28" t="n">
        <x:v>25</x:v>
      </x:c>
      <x:c r="I112" t="str">
        <x:v>Ground / Rock</x:v>
      </x:c>
    </x:row>
    <x:row r="113">
      <x:c r="A113" s="28" t="n">
        <x:v>112</x:v>
      </x:c>
      <x:c r="B113" t="str">
        <x:v>Rhydon</x:v>
      </x:c>
      <x:c r="C113" s="28" t="n">
        <x:v>105</x:v>
      </x:c>
      <x:c r="D113" s="28" t="n">
        <x:v>130</x:v>
      </x:c>
      <x:c r="E113" s="28" t="n">
        <x:v>120</x:v>
      </x:c>
      <x:c r="F113" s="28" t="n">
        <x:v>45</x:v>
      </x:c>
      <x:c r="G113" s="28" t="n">
        <x:v>45</x:v>
      </x:c>
      <x:c r="H113" s="28" t="n">
        <x:v>40</x:v>
      </x:c>
      <x:c r="I113" t="str">
        <x:v>Ground / Rock</x:v>
      </x:c>
    </x:row>
    <x:row r="114">
      <x:c r="A114" s="28" t="n">
        <x:v>113</x:v>
      </x:c>
      <x:c r="B114" t="str">
        <x:v>Chansey</x:v>
      </x:c>
      <x:c r="C114" s="28" t="n">
        <x:v>250</x:v>
      </x:c>
      <x:c r="D114" s="28" t="n">
        <x:v>5</x:v>
      </x:c>
      <x:c r="E114" s="28" t="n">
        <x:v>5</x:v>
      </x:c>
      <x:c r="F114" s="28" t="n">
        <x:v>35</x:v>
      </x:c>
      <x:c r="G114" s="28" t="n">
        <x:v>105</x:v>
      </x:c>
      <x:c r="H114" s="28" t="n">
        <x:v>50</x:v>
      </x:c>
      <x:c r="I114" t="str">
        <x:v>Normal</x:v>
      </x:c>
    </x:row>
    <x:row r="115">
      <x:c r="A115" s="28" t="n">
        <x:v>114</x:v>
      </x:c>
      <x:c r="B115" t="str">
        <x:v>Tangela</x:v>
      </x:c>
      <x:c r="C115" s="28" t="n">
        <x:v>65</x:v>
      </x:c>
      <x:c r="D115" s="28" t="n">
        <x:v>55</x:v>
      </x:c>
      <x:c r="E115" s="28" t="n">
        <x:v>115</x:v>
      </x:c>
      <x:c r="F115" s="28" t="n">
        <x:v>100</x:v>
      </x:c>
      <x:c r="G115" s="28" t="n">
        <x:v>40</x:v>
      </x:c>
      <x:c r="H115" s="28" t="n">
        <x:v>60</x:v>
      </x:c>
      <x:c r="I115" t="str">
        <x:v>Grass</x:v>
      </x:c>
    </x:row>
    <x:row r="116">
      <x:c r="A116" s="28" t="n">
        <x:v>115</x:v>
      </x:c>
      <x:c r="B116" t="str">
        <x:v>Kangaskhan</x:v>
      </x:c>
      <x:c r="C116" s="28" t="n">
        <x:v>105</x:v>
      </x:c>
      <x:c r="D116" s="28" t="n">
        <x:v>95</x:v>
      </x:c>
      <x:c r="E116" s="28" t="n">
        <x:v>80</x:v>
      </x:c>
      <x:c r="F116" s="28" t="n">
        <x:v>40</x:v>
      </x:c>
      <x:c r="G116" s="28" t="n">
        <x:v>80</x:v>
      </x:c>
      <x:c r="H116" s="28" t="n">
        <x:v>90</x:v>
      </x:c>
      <x:c r="I116" t="str">
        <x:v>Normal</x:v>
      </x:c>
    </x:row>
    <x:row r="117">
      <x:c r="A117" s="28" t="n">
        <x:v>116</x:v>
      </x:c>
      <x:c r="B117" t="str">
        <x:v>Horsea</x:v>
      </x:c>
      <x:c r="C117" s="28" t="n">
        <x:v>30</x:v>
      </x:c>
      <x:c r="D117" s="28" t="n">
        <x:v>40</x:v>
      </x:c>
      <x:c r="E117" s="28" t="n">
        <x:v>70</x:v>
      </x:c>
      <x:c r="F117" s="28" t="n">
        <x:v>70</x:v>
      </x:c>
      <x:c r="G117" s="28" t="n">
        <x:v>25</x:v>
      </x:c>
      <x:c r="H117" s="28" t="n">
        <x:v>60</x:v>
      </x:c>
      <x:c r="I117" t="str">
        <x:v>Water</x:v>
      </x:c>
    </x:row>
    <x:row r="118">
      <x:c r="A118" s="28" t="n">
        <x:v>117</x:v>
      </x:c>
      <x:c r="B118" t="str">
        <x:v>Seadra</x:v>
      </x:c>
      <x:c r="C118" s="28" t="n">
        <x:v>55</x:v>
      </x:c>
      <x:c r="D118" s="28" t="n">
        <x:v>65</x:v>
      </x:c>
      <x:c r="E118" s="28" t="n">
        <x:v>95</x:v>
      </x:c>
      <x:c r="F118" s="28" t="n">
        <x:v>95</x:v>
      </x:c>
      <x:c r="G118" s="28" t="n">
        <x:v>45</x:v>
      </x:c>
      <x:c r="H118" s="28" t="n">
        <x:v>85</x:v>
      </x:c>
      <x:c r="I118" t="str">
        <x:v>Water</x:v>
      </x:c>
    </x:row>
    <x:row r="119">
      <x:c r="A119" s="28" t="n">
        <x:v>118</x:v>
      </x:c>
      <x:c r="B119" t="str">
        <x:v>Goldeen</x:v>
      </x:c>
      <x:c r="C119" s="28" t="n">
        <x:v>45</x:v>
      </x:c>
      <x:c r="D119" s="28" t="n">
        <x:v>67</x:v>
      </x:c>
      <x:c r="E119" s="28" t="n">
        <x:v>60</x:v>
      </x:c>
      <x:c r="F119" s="28" t="n">
        <x:v>35</x:v>
      </x:c>
      <x:c r="G119" s="28" t="n">
        <x:v>50</x:v>
      </x:c>
      <x:c r="H119" s="28" t="n">
        <x:v>63</x:v>
      </x:c>
      <x:c r="I119" t="str">
        <x:v>Water</x:v>
      </x:c>
    </x:row>
    <x:row r="120">
      <x:c r="A120" s="28" t="n">
        <x:v>119</x:v>
      </x:c>
      <x:c r="B120" t="str">
        <x:v>Seaking</x:v>
      </x:c>
      <x:c r="C120" s="28" t="n">
        <x:v>80</x:v>
      </x:c>
      <x:c r="D120" s="28" t="n">
        <x:v>92</x:v>
      </x:c>
      <x:c r="E120" s="28" t="n">
        <x:v>65</x:v>
      </x:c>
      <x:c r="F120" s="28" t="n">
        <x:v>65</x:v>
      </x:c>
      <x:c r="G120" s="28" t="n">
        <x:v>80</x:v>
      </x:c>
      <x:c r="H120" s="28" t="n">
        <x:v>68</x:v>
      </x:c>
      <x:c r="I120" t="str">
        <x:v>Water</x:v>
      </x:c>
    </x:row>
    <x:row r="121">
      <x:c r="A121" s="28" t="n">
        <x:v>120</x:v>
      </x:c>
      <x:c r="B121" t="str">
        <x:v>Staryu</x:v>
      </x:c>
      <x:c r="C121" s="28" t="n">
        <x:v>30</x:v>
      </x:c>
      <x:c r="D121" s="28" t="n">
        <x:v>45</x:v>
      </x:c>
      <x:c r="E121" s="28" t="n">
        <x:v>55</x:v>
      </x:c>
      <x:c r="F121" s="28" t="n">
        <x:v>70</x:v>
      </x:c>
      <x:c r="G121" s="28" t="n">
        <x:v>55</x:v>
      </x:c>
      <x:c r="H121" s="28" t="n">
        <x:v>85</x:v>
      </x:c>
      <x:c r="I121" t="str">
        <x:v>Water</x:v>
      </x:c>
    </x:row>
    <x:row r="122">
      <x:c r="A122" s="28" t="n">
        <x:v>121</x:v>
      </x:c>
      <x:c r="B122" t="str">
        <x:v>Starmie</x:v>
      </x:c>
      <x:c r="C122" s="28" t="n">
        <x:v>60</x:v>
      </x:c>
      <x:c r="D122" s="28" t="n">
        <x:v>75</x:v>
      </x:c>
      <x:c r="E122" s="28" t="n">
        <x:v>85</x:v>
      </x:c>
      <x:c r="F122" s="28" t="n">
        <x:v>100</x:v>
      </x:c>
      <x:c r="G122" s="28" t="n">
        <x:v>85</x:v>
      </x:c>
      <x:c r="H122" s="28" t="n">
        <x:v>115</x:v>
      </x:c>
      <x:c r="I122" t="str">
        <x:v>Water / Psychic</x:v>
      </x:c>
    </x:row>
    <x:row r="123">
      <x:c r="A123" s="28" t="n">
        <x:v>122</x:v>
      </x:c>
      <x:c r="B123" t="str">
        <x:v>Mr Mime</x:v>
      </x:c>
      <x:c r="C123" s="28" t="n">
        <x:v>40</x:v>
      </x:c>
      <x:c r="D123" s="28" t="n">
        <x:v>45</x:v>
      </x:c>
      <x:c r="E123" s="28" t="n">
        <x:v>65</x:v>
      </x:c>
      <x:c r="F123" s="28" t="n">
        <x:v>100</x:v>
      </x:c>
      <x:c r="G123" s="28" t="n">
        <x:v>120</x:v>
      </x:c>
      <x:c r="H123" s="28" t="n">
        <x:v>90</x:v>
      </x:c>
      <x:c r="I123" t="str">
        <x:v>Psychic / Fairy</x:v>
      </x:c>
    </x:row>
    <x:row r="124">
      <x:c r="A124" s="28" t="n">
        <x:v>123</x:v>
      </x:c>
      <x:c r="B124" t="str">
        <x:v>Scyther</x:v>
      </x:c>
      <x:c r="C124" s="28" t="n">
        <x:v>70</x:v>
      </x:c>
      <x:c r="D124" s="28" t="n">
        <x:v>110</x:v>
      </x:c>
      <x:c r="E124" s="28" t="n">
        <x:v>80</x:v>
      </x:c>
      <x:c r="F124" s="28" t="n">
        <x:v>55</x:v>
      </x:c>
      <x:c r="G124" s="28" t="n">
        <x:v>80</x:v>
      </x:c>
      <x:c r="H124" s="28" t="n">
        <x:v>105</x:v>
      </x:c>
      <x:c r="I124" t="str">
        <x:v>Bug / Flying</x:v>
      </x:c>
    </x:row>
    <x:row r="125">
      <x:c r="A125" s="28" t="n">
        <x:v>124</x:v>
      </x:c>
      <x:c r="B125" t="str">
        <x:v>Jynx</x:v>
      </x:c>
      <x:c r="C125" s="28" t="n">
        <x:v>65</x:v>
      </x:c>
      <x:c r="D125" s="28" t="n">
        <x:v>50</x:v>
      </x:c>
      <x:c r="E125" s="28" t="n">
        <x:v>35</x:v>
      </x:c>
      <x:c r="F125" s="28" t="n">
        <x:v>115</x:v>
      </x:c>
      <x:c r="G125" s="28" t="n">
        <x:v>95</x:v>
      </x:c>
      <x:c r="H125" s="28" t="n">
        <x:v>95</x:v>
      </x:c>
      <x:c r="I125" t="str">
        <x:v>Ice / Psychic</x:v>
      </x:c>
    </x:row>
    <x:row r="126">
      <x:c r="A126" s="28" t="n">
        <x:v>125</x:v>
      </x:c>
      <x:c r="B126" t="str">
        <x:v>Electabuzz</x:v>
      </x:c>
      <x:c r="C126" s="28" t="n">
        <x:v>65</x:v>
      </x:c>
      <x:c r="D126" s="28" t="n">
        <x:v>83</x:v>
      </x:c>
      <x:c r="E126" s="28" t="n">
        <x:v>57</x:v>
      </x:c>
      <x:c r="F126" s="28" t="n">
        <x:v>95</x:v>
      </x:c>
      <x:c r="G126" s="28" t="n">
        <x:v>85</x:v>
      </x:c>
      <x:c r="H126" s="28" t="n">
        <x:v>105</x:v>
      </x:c>
      <x:c r="I126" t="str">
        <x:v>Electric</x:v>
      </x:c>
    </x:row>
    <x:row r="127">
      <x:c r="A127" s="28" t="n">
        <x:v>126</x:v>
      </x:c>
      <x:c r="B127" t="str">
        <x:v>Magmar</x:v>
      </x:c>
      <x:c r="C127" s="28" t="n">
        <x:v>65</x:v>
      </x:c>
      <x:c r="D127" s="28" t="n">
        <x:v>95</x:v>
      </x:c>
      <x:c r="E127" s="28" t="n">
        <x:v>57</x:v>
      </x:c>
      <x:c r="F127" s="28" t="n">
        <x:v>100</x:v>
      </x:c>
      <x:c r="G127" s="28" t="n">
        <x:v>85</x:v>
      </x:c>
      <x:c r="H127" s="28" t="n">
        <x:v>93</x:v>
      </x:c>
      <x:c r="I127" t="str">
        <x:v>Fire</x:v>
      </x:c>
    </x:row>
    <x:row r="128">
      <x:c r="A128" s="28" t="n">
        <x:v>127</x:v>
      </x:c>
      <x:c r="B128" t="str">
        <x:v>Pinsir</x:v>
      </x:c>
      <x:c r="C128" s="28" t="n">
        <x:v>65</x:v>
      </x:c>
      <x:c r="D128" s="28" t="n">
        <x:v>125</x:v>
      </x:c>
      <x:c r="E128" s="28" t="n">
        <x:v>100</x:v>
      </x:c>
      <x:c r="F128" s="28" t="n">
        <x:v>55</x:v>
      </x:c>
      <x:c r="G128" s="28" t="n">
        <x:v>70</x:v>
      </x:c>
      <x:c r="H128" s="28" t="n">
        <x:v>85</x:v>
      </x:c>
      <x:c r="I128" t="str">
        <x:v>Bug</x:v>
      </x:c>
    </x:row>
    <x:row r="129">
      <x:c r="A129" s="28" t="n">
        <x:v>128</x:v>
      </x:c>
      <x:c r="B129" t="str">
        <x:v>Tauros</x:v>
      </x:c>
      <x:c r="C129" s="28" t="n">
        <x:v>75</x:v>
      </x:c>
      <x:c r="D129" s="28" t="n">
        <x:v>100</x:v>
      </x:c>
      <x:c r="E129" s="28" t="n">
        <x:v>95</x:v>
      </x:c>
      <x:c r="F129" s="28" t="n">
        <x:v>40</x:v>
      </x:c>
      <x:c r="G129" s="28" t="n">
        <x:v>70</x:v>
      </x:c>
      <x:c r="H129" s="28" t="n">
        <x:v>110</x:v>
      </x:c>
      <x:c r="I129" t="str">
        <x:v>Normal</x:v>
      </x:c>
    </x:row>
    <x:row r="130">
      <x:c r="A130" s="28" t="n">
        <x:v>129</x:v>
      </x:c>
      <x:c r="B130" t="str">
        <x:v>Magikarp</x:v>
      </x:c>
      <x:c r="C130" s="28" t="n">
        <x:v>20</x:v>
      </x:c>
      <x:c r="D130" s="28" t="n">
        <x:v>10</x:v>
      </x:c>
      <x:c r="E130" s="28" t="n">
        <x:v>55</x:v>
      </x:c>
      <x:c r="F130" s="28" t="n">
        <x:v>15</x:v>
      </x:c>
      <x:c r="G130" s="28" t="n">
        <x:v>20</x:v>
      </x:c>
      <x:c r="H130" s="28" t="n">
        <x:v>80</x:v>
      </x:c>
      <x:c r="I130" t="str">
        <x:v>Water</x:v>
      </x:c>
    </x:row>
    <x:row r="131">
      <x:c r="A131" s="28" t="n">
        <x:v>130</x:v>
      </x:c>
      <x:c r="B131" t="str">
        <x:v>Gyarados</x:v>
      </x:c>
      <x:c r="C131" s="28" t="n">
        <x:v>95</x:v>
      </x:c>
      <x:c r="D131" s="28" t="n">
        <x:v>125</x:v>
      </x:c>
      <x:c r="E131" s="28" t="n">
        <x:v>79</x:v>
      </x:c>
      <x:c r="F131" s="28" t="n">
        <x:v>60</x:v>
      </x:c>
      <x:c r="G131" s="28" t="n">
        <x:v>100</x:v>
      </x:c>
      <x:c r="H131" s="28" t="n">
        <x:v>81</x:v>
      </x:c>
      <x:c r="I131" t="str">
        <x:v>Water / Flying</x:v>
      </x:c>
    </x:row>
    <x:row r="132">
      <x:c r="A132" s="28" t="n">
        <x:v>131</x:v>
      </x:c>
      <x:c r="B132" t="str">
        <x:v>Lapras</x:v>
      </x:c>
      <x:c r="C132" s="28" t="n">
        <x:v>130</x:v>
      </x:c>
      <x:c r="D132" s="28" t="n">
        <x:v>85</x:v>
      </x:c>
      <x:c r="E132" s="28" t="n">
        <x:v>80</x:v>
      </x:c>
      <x:c r="F132" s="28" t="n">
        <x:v>85</x:v>
      </x:c>
      <x:c r="G132" s="28" t="n">
        <x:v>95</x:v>
      </x:c>
      <x:c r="H132" s="28" t="n">
        <x:v>60</x:v>
      </x:c>
      <x:c r="I132" t="str">
        <x:v>Water / Ice</x:v>
      </x:c>
    </x:row>
    <x:row r="133">
      <x:c r="A133" s="28" t="n">
        <x:v>132</x:v>
      </x:c>
      <x:c r="B133" t="str">
        <x:v>Ditto</x:v>
      </x:c>
      <x:c r="C133" s="28" t="n">
        <x:v>48</x:v>
      </x:c>
      <x:c r="D133" s="28" t="n">
        <x:v>48</x:v>
      </x:c>
      <x:c r="E133" s="28" t="n">
        <x:v>48</x:v>
      </x:c>
      <x:c r="F133" s="28" t="n">
        <x:v>48</x:v>
      </x:c>
      <x:c r="G133" s="28" t="n">
        <x:v>48</x:v>
      </x:c>
      <x:c r="H133" s="28" t="n">
        <x:v>48</x:v>
      </x:c>
      <x:c r="I133" t="str">
        <x:v>Normal</x:v>
      </x:c>
    </x:row>
    <x:row r="134">
      <x:c r="A134" s="28" t="n">
        <x:v>133</x:v>
      </x:c>
      <x:c r="B134" t="str">
        <x:v>Eevee</x:v>
      </x:c>
      <x:c r="C134" s="28" t="n">
        <x:v>55</x:v>
      </x:c>
      <x:c r="D134" s="28" t="n">
        <x:v>55</x:v>
      </x:c>
      <x:c r="E134" s="28" t="n">
        <x:v>50</x:v>
      </x:c>
      <x:c r="F134" s="28" t="n">
        <x:v>45</x:v>
      </x:c>
      <x:c r="G134" s="28" t="n">
        <x:v>65</x:v>
      </x:c>
      <x:c r="H134" s="28" t="n">
        <x:v>55</x:v>
      </x:c>
      <x:c r="I134" t="str">
        <x:v>Normal</x:v>
      </x:c>
    </x:row>
    <x:row r="135">
      <x:c r="A135" s="28" t="n">
        <x:v>134</x:v>
      </x:c>
      <x:c r="B135" t="str">
        <x:v>Vaporeon</x:v>
      </x:c>
      <x:c r="C135" s="28" t="n">
        <x:v>130</x:v>
      </x:c>
      <x:c r="D135" s="28" t="n">
        <x:v>65</x:v>
      </x:c>
      <x:c r="E135" s="28" t="n">
        <x:v>60</x:v>
      </x:c>
      <x:c r="F135" s="28" t="n">
        <x:v>110</x:v>
      </x:c>
      <x:c r="G135" s="28" t="n">
        <x:v>95</x:v>
      </x:c>
      <x:c r="H135" s="28" t="n">
        <x:v>65</x:v>
      </x:c>
      <x:c r="I135" t="str">
        <x:v>Water</x:v>
      </x:c>
    </x:row>
    <x:row r="136">
      <x:c r="A136" s="28" t="n">
        <x:v>135</x:v>
      </x:c>
      <x:c r="B136" t="str">
        <x:v>Jolteon</x:v>
      </x:c>
      <x:c r="C136" s="28" t="n">
        <x:v>65</x:v>
      </x:c>
      <x:c r="D136" s="28" t="n">
        <x:v>65</x:v>
      </x:c>
      <x:c r="E136" s="28" t="n">
        <x:v>60</x:v>
      </x:c>
      <x:c r="F136" s="28" t="n">
        <x:v>110</x:v>
      </x:c>
      <x:c r="G136" s="28" t="n">
        <x:v>95</x:v>
      </x:c>
      <x:c r="H136" s="28" t="n">
        <x:v>130</x:v>
      </x:c>
      <x:c r="I136" t="str">
        <x:v>Electric</x:v>
      </x:c>
    </x:row>
    <x:row r="137">
      <x:c r="A137" s="28" t="n">
        <x:v>136</x:v>
      </x:c>
      <x:c r="B137" t="str">
        <x:v>Flareon</x:v>
      </x:c>
      <x:c r="C137" s="28" t="n">
        <x:v>65</x:v>
      </x:c>
      <x:c r="D137" s="28" t="n">
        <x:v>130</x:v>
      </x:c>
      <x:c r="E137" s="28" t="n">
        <x:v>60</x:v>
      </x:c>
      <x:c r="F137" s="28" t="n">
        <x:v>95</x:v>
      </x:c>
      <x:c r="G137" s="28" t="n">
        <x:v>110</x:v>
      </x:c>
      <x:c r="H137" s="28" t="n">
        <x:v>65</x:v>
      </x:c>
      <x:c r="I137" t="str">
        <x:v>Fire</x:v>
      </x:c>
    </x:row>
    <x:row r="138">
      <x:c r="A138" s="28" t="n">
        <x:v>137</x:v>
      </x:c>
      <x:c r="B138" t="str">
        <x:v>Porygon</x:v>
      </x:c>
      <x:c r="C138" s="28" t="n">
        <x:v>65</x:v>
      </x:c>
      <x:c r="D138" s="28" t="n">
        <x:v>60</x:v>
      </x:c>
      <x:c r="E138" s="28" t="n">
        <x:v>70</x:v>
      </x:c>
      <x:c r="F138" s="28" t="n">
        <x:v>85</x:v>
      </x:c>
      <x:c r="G138" s="28" t="n">
        <x:v>75</x:v>
      </x:c>
      <x:c r="H138" s="28" t="n">
        <x:v>40</x:v>
      </x:c>
      <x:c r="I138" t="str">
        <x:v>Normal</x:v>
      </x:c>
    </x:row>
    <x:row r="139">
      <x:c r="A139" s="28" t="n">
        <x:v>138</x:v>
      </x:c>
      <x:c r="B139" t="str">
        <x:v>Omanyte</x:v>
      </x:c>
      <x:c r="C139" s="28" t="n">
        <x:v>35</x:v>
      </x:c>
      <x:c r="D139" s="28" t="n">
        <x:v>40</x:v>
      </x:c>
      <x:c r="E139" s="28" t="n">
        <x:v>100</x:v>
      </x:c>
      <x:c r="F139" s="28" t="n">
        <x:v>90</x:v>
      </x:c>
      <x:c r="G139" s="28" t="n">
        <x:v>55</x:v>
      </x:c>
      <x:c r="H139" s="28" t="n">
        <x:v>35</x:v>
      </x:c>
      <x:c r="I139" t="str">
        <x:v>Rock / Water</x:v>
      </x:c>
    </x:row>
    <x:row r="140">
      <x:c r="A140" s="28" t="n">
        <x:v>139</x:v>
      </x:c>
      <x:c r="B140" t="str">
        <x:v>Omastar</x:v>
      </x:c>
      <x:c r="C140" s="28" t="n">
        <x:v>70</x:v>
      </x:c>
      <x:c r="D140" s="28" t="n">
        <x:v>60</x:v>
      </x:c>
      <x:c r="E140" s="28" t="n">
        <x:v>125</x:v>
      </x:c>
      <x:c r="F140" s="28" t="n">
        <x:v>115</x:v>
      </x:c>
      <x:c r="G140" s="28" t="n">
        <x:v>70</x:v>
      </x:c>
      <x:c r="H140" s="28" t="n">
        <x:v>55</x:v>
      </x:c>
      <x:c r="I140" t="str">
        <x:v>Rock / Water</x:v>
      </x:c>
    </x:row>
    <x:row r="141">
      <x:c r="A141" s="28" t="n">
        <x:v>140</x:v>
      </x:c>
      <x:c r="B141" t="str">
        <x:v>Kabuto</x:v>
      </x:c>
      <x:c r="C141" s="28" t="n">
        <x:v>30</x:v>
      </x:c>
      <x:c r="D141" s="28" t="n">
        <x:v>80</x:v>
      </x:c>
      <x:c r="E141" s="28" t="n">
        <x:v>90</x:v>
      </x:c>
      <x:c r="F141" s="28" t="n">
        <x:v>55</x:v>
      </x:c>
      <x:c r="G141" s="28" t="n">
        <x:v>45</x:v>
      </x:c>
      <x:c r="H141" s="28" t="n">
        <x:v>55</x:v>
      </x:c>
      <x:c r="I141" t="str">
        <x:v>Rock / Water</x:v>
      </x:c>
    </x:row>
    <x:row r="142">
      <x:c r="A142" s="28" t="n">
        <x:v>141</x:v>
      </x:c>
      <x:c r="B142" t="str">
        <x:v>Kabutops</x:v>
      </x:c>
      <x:c r="C142" s="28" t="n">
        <x:v>60</x:v>
      </x:c>
      <x:c r="D142" s="28" t="n">
        <x:v>115</x:v>
      </x:c>
      <x:c r="E142" s="28" t="n">
        <x:v>105</x:v>
      </x:c>
      <x:c r="F142" s="28" t="n">
        <x:v>65</x:v>
      </x:c>
      <x:c r="G142" s="28" t="n">
        <x:v>70</x:v>
      </x:c>
      <x:c r="H142" s="28" t="n">
        <x:v>80</x:v>
      </x:c>
      <x:c r="I142" t="str">
        <x:v>Rock / Water</x:v>
      </x:c>
    </x:row>
    <x:row r="143">
      <x:c r="A143" s="28" t="n">
        <x:v>142</x:v>
      </x:c>
      <x:c r="B143" t="str">
        <x:v>Aerodactyl</x:v>
      </x:c>
      <x:c r="C143" s="28" t="n">
        <x:v>80</x:v>
      </x:c>
      <x:c r="D143" s="28" t="n">
        <x:v>105</x:v>
      </x:c>
      <x:c r="E143" s="28" t="n">
        <x:v>65</x:v>
      </x:c>
      <x:c r="F143" s="28" t="n">
        <x:v>60</x:v>
      </x:c>
      <x:c r="G143" s="28" t="n">
        <x:v>75</x:v>
      </x:c>
      <x:c r="H143" s="28" t="n">
        <x:v>130</x:v>
      </x:c>
      <x:c r="I143" t="str">
        <x:v>Rock / Flying</x:v>
      </x:c>
    </x:row>
    <x:row r="144">
      <x:c r="A144" s="28" t="n">
        <x:v>143</x:v>
      </x:c>
      <x:c r="B144" t="str">
        <x:v>Snorlax</x:v>
      </x:c>
      <x:c r="C144" s="28" t="n">
        <x:v>160</x:v>
      </x:c>
      <x:c r="D144" s="28" t="n">
        <x:v>110</x:v>
      </x:c>
      <x:c r="E144" s="28" t="n">
        <x:v>65</x:v>
      </x:c>
      <x:c r="F144" s="28" t="n">
        <x:v>65</x:v>
      </x:c>
      <x:c r="G144" s="28" t="n">
        <x:v>110</x:v>
      </x:c>
      <x:c r="H144" s="28" t="n">
        <x:v>30</x:v>
      </x:c>
      <x:c r="I144" t="str">
        <x:v>Normal</x:v>
      </x:c>
    </x:row>
    <x:row r="145">
      <x:c r="A145" s="28" t="n">
        <x:v>144</x:v>
      </x:c>
      <x:c r="B145" t="str">
        <x:v>Articuno</x:v>
      </x:c>
      <x:c r="C145" s="28" t="n">
        <x:v>90</x:v>
      </x:c>
      <x:c r="D145" s="28" t="n">
        <x:v>85</x:v>
      </x:c>
      <x:c r="E145" s="28" t="n">
        <x:v>100</x:v>
      </x:c>
      <x:c r="F145" s="28" t="n">
        <x:v>95</x:v>
      </x:c>
      <x:c r="G145" s="28" t="n">
        <x:v>125</x:v>
      </x:c>
      <x:c r="H145" s="28" t="n">
        <x:v>85</x:v>
      </x:c>
      <x:c r="I145" t="str">
        <x:v>Ice / Flying</x:v>
      </x:c>
    </x:row>
    <x:row r="146">
      <x:c r="A146" s="28" t="n">
        <x:v>145</x:v>
      </x:c>
      <x:c r="B146" t="str">
        <x:v>Zapdos</x:v>
      </x:c>
      <x:c r="C146" s="28" t="n">
        <x:v>90</x:v>
      </x:c>
      <x:c r="D146" s="28" t="n">
        <x:v>90</x:v>
      </x:c>
      <x:c r="E146" s="28" t="n">
        <x:v>85</x:v>
      </x:c>
      <x:c r="F146" s="28" t="n">
        <x:v>125</x:v>
      </x:c>
      <x:c r="G146" s="28" t="n">
        <x:v>90</x:v>
      </x:c>
      <x:c r="H146" s="28" t="n">
        <x:v>100</x:v>
      </x:c>
      <x:c r="I146" t="str">
        <x:v>Electric / Flying</x:v>
      </x:c>
    </x:row>
    <x:row r="147">
      <x:c r="A147" s="28" t="n">
        <x:v>146</x:v>
      </x:c>
      <x:c r="B147" t="str">
        <x:v>Moltres</x:v>
      </x:c>
      <x:c r="C147" s="28" t="n">
        <x:v>90</x:v>
      </x:c>
      <x:c r="D147" s="28" t="n">
        <x:v>100</x:v>
      </x:c>
      <x:c r="E147" s="28" t="n">
        <x:v>90</x:v>
      </x:c>
      <x:c r="F147" s="28" t="n">
        <x:v>125</x:v>
      </x:c>
      <x:c r="G147" s="28" t="n">
        <x:v>85</x:v>
      </x:c>
      <x:c r="H147" s="28" t="n">
        <x:v>90</x:v>
      </x:c>
      <x:c r="I147" t="str">
        <x:v>Fire / Flying</x:v>
      </x:c>
    </x:row>
    <x:row r="148">
      <x:c r="A148" s="28" t="n">
        <x:v>147</x:v>
      </x:c>
      <x:c r="B148" t="str">
        <x:v>Dratini</x:v>
      </x:c>
      <x:c r="C148" s="28" t="n">
        <x:v>41</x:v>
      </x:c>
      <x:c r="D148" s="28" t="n">
        <x:v>64</x:v>
      </x:c>
      <x:c r="E148" s="28" t="n">
        <x:v>45</x:v>
      </x:c>
      <x:c r="F148" s="28" t="n">
        <x:v>50</x:v>
      </x:c>
      <x:c r="G148" s="28" t="n">
        <x:v>50</x:v>
      </x:c>
      <x:c r="H148" s="28" t="n">
        <x:v>50</x:v>
      </x:c>
      <x:c r="I148" t="str">
        <x:v>Dragon</x:v>
      </x:c>
    </x:row>
    <x:row r="149">
      <x:c r="A149" s="28" t="n">
        <x:v>148</x:v>
      </x:c>
      <x:c r="B149" t="str">
        <x:v>Dragonair</x:v>
      </x:c>
      <x:c r="C149" s="28" t="n">
        <x:v>61</x:v>
      </x:c>
      <x:c r="D149" s="28" t="n">
        <x:v>84</x:v>
      </x:c>
      <x:c r="E149" s="28" t="n">
        <x:v>65</x:v>
      </x:c>
      <x:c r="F149" s="28" t="n">
        <x:v>70</x:v>
      </x:c>
      <x:c r="G149" s="28" t="n">
        <x:v>70</x:v>
      </x:c>
      <x:c r="H149" s="28" t="n">
        <x:v>70</x:v>
      </x:c>
      <x:c r="I149" t="str">
        <x:v>Dragon</x:v>
      </x:c>
    </x:row>
    <x:row r="150">
      <x:c r="A150" s="28" t="n">
        <x:v>149</x:v>
      </x:c>
      <x:c r="B150" t="str">
        <x:v>Dragonite</x:v>
      </x:c>
      <x:c r="C150" s="28" t="n">
        <x:v>91</x:v>
      </x:c>
      <x:c r="D150" s="28" t="n">
        <x:v>134</x:v>
      </x:c>
      <x:c r="E150" s="28" t="n">
        <x:v>95</x:v>
      </x:c>
      <x:c r="F150" s="28" t="n">
        <x:v>100</x:v>
      </x:c>
      <x:c r="G150" s="28" t="n">
        <x:v>100</x:v>
      </x:c>
      <x:c r="H150" s="28" t="n">
        <x:v>80</x:v>
      </x:c>
      <x:c r="I150" t="str">
        <x:v>Dragon / Flying</x:v>
      </x:c>
    </x:row>
    <x:row r="151">
      <x:c r="A151" s="28" t="n">
        <x:v>150</x:v>
      </x:c>
      <x:c r="B151" t="str">
        <x:v>Mewtwo</x:v>
      </x:c>
      <x:c r="C151" s="28" t="n">
        <x:v>106</x:v>
      </x:c>
      <x:c r="D151" s="28" t="n">
        <x:v>110</x:v>
      </x:c>
      <x:c r="E151" s="28" t="n">
        <x:v>90</x:v>
      </x:c>
      <x:c r="F151" s="28" t="n">
        <x:v>154</x:v>
      </x:c>
      <x:c r="G151" s="28" t="n">
        <x:v>90</x:v>
      </x:c>
      <x:c r="H151" s="28" t="n">
        <x:v>130</x:v>
      </x:c>
      <x:c r="I151" t="str">
        <x:v>Psychic</x:v>
      </x:c>
    </x:row>
    <x:row r="152">
      <x:c r="A152" s="28" t="n">
        <x:v>151</x:v>
      </x:c>
      <x:c r="B152" t="str">
        <x:v>Mew</x:v>
      </x:c>
      <x:c r="C152" s="28" t="n">
        <x:v>100</x:v>
      </x:c>
      <x:c r="D152" s="28" t="n">
        <x:v>100</x:v>
      </x:c>
      <x:c r="E152" s="28" t="n">
        <x:v>100</x:v>
      </x:c>
      <x:c r="F152" s="28" t="n">
        <x:v>100</x:v>
      </x:c>
      <x:c r="G152" s="28" t="n">
        <x:v>100</x:v>
      </x:c>
      <x:c r="H152" s="28" t="n">
        <x:v>100</x:v>
      </x:c>
      <x:c r="I152" t="str">
        <x:v>Psychic</x:v>
      </x:c>
    </x:row>
  </x:sheetData>
  <x:pageMargins left="0.7" right="0.7" top="0.75" bottom="0.75" header="0.3" footer="0.3"/>
  <x:tableParts count="1">
    <x:tablePart xmlns:r="http://schemas.openxmlformats.org/officeDocument/2006/relationships" r:id="R530b21cd5e4a48cd"/>
  </x:tableParts>
</x:worksheet>
</file>